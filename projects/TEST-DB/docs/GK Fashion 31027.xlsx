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\\192.168.12.252\ür-ge durumu\GK Fashion (3633)- 31027\"/>
    </mc:Choice>
  </mc:AlternateContent>
  <xr:revisionPtr revIDLastSave="0" documentId="13_ncr:1_{CF2568A0-6566-46C9-8A8C-72713F24F552}" xr6:coauthVersionLast="47" xr6:coauthVersionMax="47" xr10:uidLastSave="{00000000-0000-0000-0000-000000000000}"/>
  <bookViews>
    <workbookView xWindow="-108" yWindow="-108" windowWidth="23256" windowHeight="12456" activeTab="1" xr2:uid="{64A3AF78-10B5-412A-952B-3BE9A8D2231A}"/>
  </bookViews>
  <sheets>
    <sheet name="PL" sheetId="1" r:id="rId1"/>
    <sheet name="CI" sheetId="6" r:id="rId2"/>
    <sheet name="KT" sheetId="5" r:id="rId3"/>
    <sheet name="Data" sheetId="7" r:id="rId4"/>
    <sheet name="CI (2)" sheetId="8" r:id="rId5"/>
    <sheet name="LEIA 1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6" l="1"/>
  <c r="L27" i="6"/>
  <c r="O26" i="6"/>
  <c r="L26" i="6"/>
  <c r="L25" i="6"/>
  <c r="L24" i="6"/>
  <c r="L28" i="8"/>
  <c r="L27" i="8"/>
  <c r="O26" i="8"/>
  <c r="L26" i="8"/>
  <c r="L25" i="8"/>
  <c r="L24" i="8"/>
  <c r="O21" i="8"/>
  <c r="M21" i="8"/>
  <c r="K21" i="8"/>
  <c r="O20" i="8"/>
  <c r="N20" i="8"/>
  <c r="N21" i="8" s="1"/>
  <c r="M20" i="8"/>
  <c r="J20" i="8"/>
  <c r="O19" i="8"/>
  <c r="N19" i="8"/>
  <c r="M19" i="8"/>
  <c r="J19" i="8"/>
  <c r="J19" i="6"/>
  <c r="M19" i="6"/>
  <c r="N19" i="6"/>
  <c r="O19" i="6"/>
  <c r="J20" i="6"/>
  <c r="M20" i="6"/>
  <c r="N20" i="6"/>
  <c r="N21" i="6" s="1"/>
  <c r="O20" i="6"/>
  <c r="K21" i="6"/>
  <c r="M21" i="6"/>
  <c r="O21" i="6"/>
  <c r="G26" i="1" l="1"/>
  <c r="I28" i="1" s="1"/>
  <c r="H26" i="1"/>
  <c r="I29" i="1" s="1"/>
  <c r="I25" i="1"/>
  <c r="I24" i="1"/>
  <c r="I23" i="1"/>
  <c r="I22" i="1"/>
  <c r="I21" i="1"/>
  <c r="I20" i="1"/>
  <c r="I19" i="1"/>
  <c r="I18" i="1"/>
  <c r="I17" i="1"/>
  <c r="I16" i="1"/>
  <c r="I26" i="1" l="1"/>
  <c r="I30" i="1" s="1"/>
</calcChain>
</file>

<file path=xl/sharedStrings.xml><?xml version="1.0" encoding="utf-8"?>
<sst xmlns="http://schemas.openxmlformats.org/spreadsheetml/2006/main" count="303" uniqueCount="161">
  <si>
    <t xml:space="preserve"> </t>
  </si>
  <si>
    <t>TOTAL NET KG</t>
  </si>
  <si>
    <t>TOTAL GROSS KG</t>
  </si>
  <si>
    <t>TOTAL ROLLS</t>
  </si>
  <si>
    <t>NET KG</t>
  </si>
  <si>
    <t>GROSS KG</t>
  </si>
  <si>
    <t>LOT</t>
  </si>
  <si>
    <t>BAR NO</t>
  </si>
  <si>
    <t>ORDER NO</t>
  </si>
  <si>
    <t>DESIGN/COLOR/COMPOSITION</t>
  </si>
  <si>
    <t>ROLL</t>
  </si>
  <si>
    <t>TOTAL METERS</t>
  </si>
  <si>
    <t>METERS</t>
  </si>
  <si>
    <t>G.K FASHION LTD.</t>
  </si>
  <si>
    <t>UNITED KINGDOM</t>
  </si>
  <si>
    <t>PO. 3633 / DOCKER NO. 2192</t>
  </si>
  <si>
    <t>G-2714 / LEIA 1/ DARK BROWN / 95%PES 5%EA / 145CM</t>
  </si>
  <si>
    <t>SELLER</t>
  </si>
  <si>
    <t>BUYER</t>
  </si>
  <si>
    <t>DELIVERY ADRESS / CONSIGNE</t>
  </si>
  <si>
    <t>PACKING LIST</t>
  </si>
  <si>
    <t>INVOICE NO</t>
  </si>
  <si>
    <t>DATE</t>
  </si>
  <si>
    <t>U.S.K. TEKSTIL SANAYI VE TICARET LIMITED SIRKETI</t>
  </si>
  <si>
    <t>DEMIRTAS DUMLUPINAR OSB, MUSTAFA KARAER CD.,</t>
  </si>
  <si>
    <t>NO.49/, OSMANGAZI, 16110, BURSA, TURKIYE</t>
  </si>
  <si>
    <t>PHONE. +90 224 2612100 / E-MAIL. sales@usktekstil.com.tr</t>
  </si>
  <si>
    <t>434 THURMASTONE BOULEVARD,</t>
  </si>
  <si>
    <t>LECEISTER LE4 9LE,</t>
  </si>
  <si>
    <t>NEW GK FASHION SARL.</t>
  </si>
  <si>
    <t>MOROCCO</t>
  </si>
  <si>
    <t>CONTACT PERSON. FATHIA QULAD MEHDI</t>
  </si>
  <si>
    <t>PHONE.  0539 40 06 45 / E-MAIL. fatimek1975@gmail.com</t>
  </si>
  <si>
    <t>PHONE. +44 079128-72750 E-MAIL. sonu@gkfashionltd.com</t>
  </si>
  <si>
    <t>VAT. 8830038249 ERTUGRULGAZI / TRD.REG.NO. 40640</t>
  </si>
  <si>
    <t>BarNo</t>
  </si>
  <si>
    <t>EN BOY</t>
  </si>
  <si>
    <t>ÇAP</t>
  </si>
  <si>
    <t xml:space="preserve">LOT 258, ZONE INDUSTTRIELLE DE GZENAYA </t>
  </si>
  <si>
    <t>VAT NO. 973998537</t>
  </si>
  <si>
    <t xml:space="preserve">90000 TANGIER </t>
  </si>
  <si>
    <t>90000, TANGIER, MOROCCO</t>
  </si>
  <si>
    <t xml:space="preserve">LOT 258, ZONE INDUSTTRIELLE DE GZENAYA, </t>
  </si>
  <si>
    <t>LECEISTER LE4 9LE, UNITED KINGDOM</t>
  </si>
  <si>
    <t>TRANSPORTER COMPANY</t>
  </si>
  <si>
    <t>DACHSER TURKEY LOJISTIK HIZMETLERI A.S.</t>
  </si>
  <si>
    <t>K14, SARIYER, 34485, ISTANBUL, TURKIYE</t>
  </si>
  <si>
    <t>alper.gundogdu@dachser.com  / M. +90 549 6630551</t>
  </si>
  <si>
    <t>ozlem.ozdemir@dachser.com / M. +90 530 9157648</t>
  </si>
  <si>
    <t>yasemin.dagdelen@dachser.com / M. +90 549 6630553</t>
  </si>
  <si>
    <t>CUSTOM AGENCY</t>
  </si>
  <si>
    <t>HGL GUMRUK MUSAVIRLIGI LOJ. VE DIS TICARET A.S.</t>
  </si>
  <si>
    <t>MASLAK MH, BUYUKSERE CD., NO.255, NUROL PLAZA,</t>
  </si>
  <si>
    <t xml:space="preserve">BEYLIKDUZU MERMERCILER OSB MH., 7. CD., NO.4, K.2 </t>
  </si>
  <si>
    <t>BEYLIKDUZU, 34524, ISTANBUL, TURKIYE</t>
  </si>
  <si>
    <t>PHONE. +90 212 8757700 - 304</t>
  </si>
  <si>
    <t>ergun.kavdir@hgl.com.tr</t>
  </si>
  <si>
    <t>KONSIMENTO TALIMATNAMESI</t>
  </si>
  <si>
    <t>PAYMENT TERMS:</t>
  </si>
  <si>
    <t>90 DAYS NET</t>
  </si>
  <si>
    <t>DELIVERY TERMS:</t>
  </si>
  <si>
    <t>DAP TANGIER, MOROCCO</t>
  </si>
  <si>
    <t>TYPES OF GOODS</t>
  </si>
  <si>
    <t>PAYMENT TERMS</t>
  </si>
  <si>
    <t>DELIVERY TERMS</t>
  </si>
  <si>
    <t>DUE DATE</t>
  </si>
  <si>
    <t>TOTAL AMAOUNT OF INVOICE</t>
  </si>
  <si>
    <t>USD</t>
  </si>
  <si>
    <t>TOTAL GROSS KG:</t>
  </si>
  <si>
    <t>NUMBER OF ROLLS:</t>
  </si>
  <si>
    <t>TOTAL NET KG:</t>
  </si>
  <si>
    <t>NUMBER OF SACKS:</t>
  </si>
  <si>
    <t>KG</t>
  </si>
  <si>
    <t>N.OF ROLLS</t>
  </si>
  <si>
    <t>N. OF SACKS</t>
  </si>
  <si>
    <t>-</t>
  </si>
  <si>
    <t>MANUFACTURER COMPANY</t>
  </si>
  <si>
    <t>THE GOODS ARE OF TURKISH ORIGIN</t>
  </si>
  <si>
    <t>URUNLER TURKIYE MENSEILIDIR</t>
  </si>
  <si>
    <t>GTYPE NO</t>
  </si>
  <si>
    <t>5407.61.90.90.19</t>
  </si>
  <si>
    <t>TOTAL QUANTITY</t>
  </si>
  <si>
    <t>MTS</t>
  </si>
  <si>
    <t xml:space="preserve">WOWEN FABRIC 95%PES 5% ELASTAN </t>
  </si>
  <si>
    <t>145CM WIDTH / 120GR2M</t>
  </si>
  <si>
    <t>GOODS SPC.</t>
  </si>
  <si>
    <t>EUR 1</t>
  </si>
  <si>
    <t>DOCUMENTS NEEDS</t>
  </si>
  <si>
    <t>NOTES</t>
  </si>
  <si>
    <t>IN ALL DOCUMENTS, GOODS NAME AND SPECSIFICATIONS WILL BE SAME</t>
  </si>
  <si>
    <t>USI2026000000006</t>
  </si>
  <si>
    <t>otherwise clearly indicated, these products are of Turkish preferential origin.</t>
  </si>
  <si>
    <t xml:space="preserve">The exporter of the products covered by this document declares that, except where </t>
  </si>
  <si>
    <t>AUTHORIZED SIGNATURE &amp; STAMP</t>
  </si>
  <si>
    <t>IBAN NO:</t>
  </si>
  <si>
    <t>SWIFT CODE :</t>
  </si>
  <si>
    <t>ACCOUNT NO:</t>
  </si>
  <si>
    <t>DACHSER LOGISTIC</t>
  </si>
  <si>
    <t>TRANSPORTER:</t>
  </si>
  <si>
    <t>BRANCH NAME &amp; NO:</t>
  </si>
  <si>
    <t>BANK NAME:</t>
  </si>
  <si>
    <t>ONE THOUSAND, EIGHT HUNDREDS,FIFTYTHREE US DOLARS AND NINE CENTS</t>
  </si>
  <si>
    <t>AMOUNT IN WORDS</t>
  </si>
  <si>
    <t xml:space="preserve">GRAND TOTALS </t>
  </si>
  <si>
    <t>ALL GOODS MADE IN TURKEY, OUR TEXTILES ARE AZO FREE.</t>
  </si>
  <si>
    <t>95%PES 5%EA</t>
  </si>
  <si>
    <t>DARK BROWN</t>
  </si>
  <si>
    <t>G-2714</t>
  </si>
  <si>
    <t>LEIA 1</t>
  </si>
  <si>
    <t>WOVEN FABRIC 145CM / 120GRM</t>
  </si>
  <si>
    <t>TOTAL AMOUNT</t>
  </si>
  <si>
    <t>MTR</t>
  </si>
  <si>
    <t>QUANTITY</t>
  </si>
  <si>
    <t xml:space="preserve"> PRICE</t>
  </si>
  <si>
    <t>ARTICLE COMPOSITION</t>
  </si>
  <si>
    <t>COLOR CODE</t>
  </si>
  <si>
    <t>ARTICLE CODE</t>
  </si>
  <si>
    <t>ARTICLE NAME</t>
  </si>
  <si>
    <t>TYPE OF GOODS</t>
  </si>
  <si>
    <t>PHN.  0539 40 06 45 / E-ML. fatimek1975@gmail.com</t>
  </si>
  <si>
    <t>PHN. +44 079128-72750 E-ML. sonu@gkfashionltd.com</t>
  </si>
  <si>
    <t>3633 - DOCKER NO. N2192</t>
  </si>
  <si>
    <t>CUSTOMER PO NO</t>
  </si>
  <si>
    <t>434-438 THURMASTONE BOULEVARD,</t>
  </si>
  <si>
    <t>INVOICE DATE</t>
  </si>
  <si>
    <t>GK FASHION LTD.</t>
  </si>
  <si>
    <t>DELIVERY TITLE &amp; ADDRESS:</t>
  </si>
  <si>
    <t>CUSTOMER TITLE :</t>
  </si>
  <si>
    <t>PHONE. +90 224 2612100</t>
  </si>
  <si>
    <t>VAT. 883 003 8249 ERTUGRULGAZI</t>
  </si>
  <si>
    <t>TRD.REG.NO. 40640</t>
  </si>
  <si>
    <t>TURKIYE</t>
  </si>
  <si>
    <t>NO.49/2, OSMANGAZİ, 16110, BURSA</t>
  </si>
  <si>
    <t>DEMİRTAŞ DUMLUPINAR OSB., MUSTAFA KARAER CD.,</t>
  </si>
  <si>
    <t>USK TEKSTIL SANAYI VE TICARET LIMITED SIRKETI</t>
  </si>
  <si>
    <t>COMMERCIAL INVOICE</t>
  </si>
  <si>
    <t>SELLER TITLE:</t>
  </si>
  <si>
    <t>CURRENCY</t>
  </si>
  <si>
    <t>SWIFT CODE:</t>
  </si>
  <si>
    <t>NAME</t>
  </si>
  <si>
    <t>T. GARANTI BANKASI A.S.</t>
  </si>
  <si>
    <t>BURSA TICARI BRANCH - 1667</t>
  </si>
  <si>
    <t>TGBATRISXXX</t>
  </si>
  <si>
    <t>TR39 0006 2001 6670 0009 0018 20</t>
  </si>
  <si>
    <t>EUR</t>
  </si>
  <si>
    <t>EURO</t>
  </si>
  <si>
    <t>TR25 0006 2001 6670 0009 0943 19</t>
  </si>
  <si>
    <t>GBP</t>
  </si>
  <si>
    <t>T.C. ZIRAAT BANKASI</t>
  </si>
  <si>
    <t>MERINOS BRANCH - 2062</t>
  </si>
  <si>
    <t>TCZBTR2A</t>
  </si>
  <si>
    <t>60610959-5051</t>
  </si>
  <si>
    <t>TR68 0001 0020 6260 6109 5950 51</t>
  </si>
  <si>
    <t>TL</t>
  </si>
  <si>
    <t>TRY</t>
  </si>
  <si>
    <t>TR31 0006 2001 6670 0006 2982 83</t>
  </si>
  <si>
    <t>$</t>
  </si>
  <si>
    <t>NA</t>
  </si>
  <si>
    <t>US ($)</t>
  </si>
  <si>
    <t>€</t>
  </si>
  <si>
    <t>EU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</si>
</sst>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₺_-;\-* #,##0.00\ _₺_-;_-* &quot;-&quot;??\ _₺_-;_-@_-"/>
    <numFmt numFmtId="165" formatCode="_(* #,##0.00_);_(* \(#,##0.00\);_(* &quot;-&quot;??_);_(@_)"/>
  </numFmts>
  <fonts count="31" x14ac:knownFonts="1">
    <font>
      <sz val="10"/>
      <name val="Arial"/>
    </font>
    <font>
      <sz val="10"/>
      <name val="Arial"/>
      <family val="2"/>
      <charset val="162"/>
    </font>
    <font>
      <sz val="10"/>
      <name val="Arial"/>
      <family val="2"/>
      <charset val="162"/>
    </font>
    <font>
      <u/>
      <sz val="10"/>
      <color theme="10"/>
      <name val="Arial"/>
      <family val="2"/>
      <charset val="162"/>
    </font>
    <font>
      <sz val="8"/>
      <color rgb="FF6D6D6D"/>
      <name val="Tahoma"/>
      <family val="2"/>
      <charset val="162"/>
    </font>
    <font>
      <sz val="7"/>
      <color rgb="FF000000"/>
      <name val="MS Sans Serif"/>
    </font>
    <font>
      <sz val="8"/>
      <name val="Arial"/>
      <family val="2"/>
      <charset val="162"/>
    </font>
    <font>
      <sz val="10"/>
      <color theme="1"/>
      <name val="Arial Narrow"/>
      <family val="2"/>
      <charset val="162"/>
    </font>
    <font>
      <sz val="10"/>
      <name val="Arial Narrow"/>
      <family val="2"/>
      <charset val="162"/>
    </font>
    <font>
      <b/>
      <sz val="10"/>
      <name val="Arial Narrow"/>
      <family val="2"/>
      <charset val="162"/>
    </font>
    <font>
      <b/>
      <u/>
      <sz val="11"/>
      <name val="Arial Narrow"/>
      <family val="2"/>
      <charset val="162"/>
    </font>
    <font>
      <b/>
      <u/>
      <sz val="10"/>
      <name val="Arial Narrow"/>
      <family val="2"/>
      <charset val="162"/>
    </font>
    <font>
      <b/>
      <sz val="11"/>
      <name val="Arial Narrow"/>
      <family val="2"/>
      <charset val="162"/>
    </font>
    <font>
      <u/>
      <sz val="10"/>
      <name val="Arial Narrow"/>
      <family val="2"/>
      <charset val="162"/>
    </font>
    <font>
      <b/>
      <sz val="11"/>
      <color theme="1"/>
      <name val="Arial Narrow"/>
      <family val="2"/>
      <charset val="162"/>
    </font>
    <font>
      <sz val="10"/>
      <color rgb="FF000000"/>
      <name val="Arial Narrow"/>
      <family val="2"/>
      <charset val="162"/>
    </font>
    <font>
      <b/>
      <sz val="10"/>
      <color theme="1"/>
      <name val="Arial Narrow"/>
      <family val="2"/>
      <charset val="162"/>
    </font>
    <font>
      <sz val="11"/>
      <name val="Arial Narrow"/>
      <family val="2"/>
      <charset val="162"/>
    </font>
    <font>
      <b/>
      <sz val="16"/>
      <name val="Arial Narrow"/>
      <family val="2"/>
      <charset val="162"/>
    </font>
    <font>
      <sz val="7"/>
      <color rgb="FF6D6D6D"/>
      <name val="Small Fonts"/>
      <charset val="162"/>
    </font>
    <font>
      <b/>
      <sz val="7"/>
      <color rgb="FF000080"/>
      <name val="MS Sans Serif"/>
    </font>
    <font>
      <b/>
      <sz val="7"/>
      <color theme="1"/>
      <name val="MS Sans Serif"/>
    </font>
    <font>
      <b/>
      <u/>
      <sz val="11"/>
      <color theme="1"/>
      <name val="Arial Narrow"/>
      <family val="2"/>
      <charset val="162"/>
    </font>
    <font>
      <b/>
      <sz val="9"/>
      <color theme="1"/>
      <name val="Arial Narrow"/>
      <family val="2"/>
      <charset val="162"/>
    </font>
    <font>
      <sz val="9"/>
      <color theme="1"/>
      <name val="Arial Narrow"/>
      <family val="2"/>
      <charset val="162"/>
    </font>
    <font>
      <sz val="11"/>
      <color theme="1"/>
      <name val="Calibri"/>
      <family val="2"/>
      <scheme val="minor"/>
    </font>
    <font>
      <b/>
      <u/>
      <sz val="9"/>
      <color theme="1"/>
      <name val="Arial Narrow"/>
      <family val="2"/>
      <charset val="162"/>
    </font>
    <font>
      <b/>
      <sz val="22"/>
      <color rgb="FFC00000"/>
      <name val="Arial Narrow"/>
      <family val="2"/>
      <charset val="162"/>
    </font>
    <font>
      <strike/>
      <sz val="9"/>
      <color theme="1"/>
      <name val="Arial Narrow"/>
      <family val="2"/>
      <charset val="162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A4C4EB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2" borderId="0" applyNumberFormat="0" applyFont="0" applyFill="0" applyBorder="0" applyAlignment="0" applyProtection="0">
      <alignment horizontal="left" vertical="top" wrapText="1"/>
    </xf>
    <xf numFmtId="164" fontId="1" fillId="0" borderId="0" applyFont="0" applyFill="0" applyBorder="0" applyAlignment="0" applyProtection="0"/>
    <xf numFmtId="0" fontId="25" fillId="0" borderId="0"/>
    <xf numFmtId="165" fontId="25" fillId="0" borderId="0" applyFont="0" applyFill="0" applyBorder="0" applyAlignment="0" applyProtection="0"/>
  </cellStyleXfs>
  <cellXfs count="275"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/>
    <xf numFmtId="0" fontId="8" fillId="0" borderId="0" xfId="0" applyFont="1"/>
    <xf numFmtId="0" fontId="15" fillId="0" borderId="4" xfId="0" applyFont="1" applyBorder="1" applyAlignment="1">
      <alignment horizontal="right" wrapText="1"/>
    </xf>
    <xf numFmtId="164" fontId="15" fillId="0" borderId="4" xfId="4" applyFont="1" applyFill="1" applyBorder="1" applyAlignment="1">
      <alignment horizontal="right" wrapText="1"/>
    </xf>
    <xf numFmtId="0" fontId="15" fillId="0" borderId="3" xfId="0" applyFont="1" applyBorder="1" applyAlignment="1">
      <alignment horizontal="right" wrapText="1"/>
    </xf>
    <xf numFmtId="164" fontId="15" fillId="0" borderId="3" xfId="4" applyFont="1" applyFill="1" applyBorder="1" applyAlignment="1">
      <alignment horizontal="right" wrapText="1"/>
    </xf>
    <xf numFmtId="0" fontId="15" fillId="0" borderId="5" xfId="0" applyFont="1" applyBorder="1" applyAlignment="1">
      <alignment horizontal="right" wrapText="1"/>
    </xf>
    <xf numFmtId="164" fontId="15" fillId="0" borderId="5" xfId="4" applyFont="1" applyFill="1" applyBorder="1" applyAlignment="1">
      <alignment horizontal="right" wrapText="1"/>
    </xf>
    <xf numFmtId="0" fontId="1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64" fontId="17" fillId="0" borderId="1" xfId="0" applyNumberFormat="1" applyFont="1" applyBorder="1" applyAlignment="1">
      <alignment horizontal="left"/>
    </xf>
    <xf numFmtId="2" fontId="8" fillId="0" borderId="0" xfId="0" applyNumberFormat="1" applyFont="1"/>
    <xf numFmtId="0" fontId="19" fillId="0" borderId="0" xfId="3" applyNumberFormat="1" applyFont="1" applyFill="1" applyBorder="1" applyAlignment="1" applyProtection="1">
      <alignment horizontal="left" vertical="top" wrapText="1"/>
    </xf>
    <xf numFmtId="0" fontId="5" fillId="0" borderId="2" xfId="3" applyNumberFormat="1" applyFont="1" applyFill="1" applyBorder="1" applyAlignment="1" applyProtection="1">
      <alignment horizontal="right" vertical="top" wrapText="1"/>
    </xf>
    <xf numFmtId="0" fontId="5" fillId="0" borderId="2" xfId="3" applyNumberFormat="1" applyFont="1" applyFill="1" applyBorder="1" applyAlignment="1" applyProtection="1">
      <alignment horizontal="center" vertical="top" wrapText="1"/>
    </xf>
    <xf numFmtId="1" fontId="5" fillId="0" borderId="2" xfId="3" applyNumberFormat="1" applyFont="1" applyFill="1" applyBorder="1" applyAlignment="1" applyProtection="1">
      <alignment horizontal="center" vertical="top" wrapText="1"/>
    </xf>
    <xf numFmtId="0" fontId="20" fillId="0" borderId="2" xfId="3" applyNumberFormat="1" applyFont="1" applyFill="1" applyBorder="1" applyAlignment="1" applyProtection="1">
      <alignment horizontal="right" vertical="top" wrapText="1"/>
    </xf>
    <xf numFmtId="0" fontId="20" fillId="0" borderId="7" xfId="3" applyNumberFormat="1" applyFont="1" applyFill="1" applyBorder="1" applyAlignment="1" applyProtection="1">
      <alignment horizontal="left" vertical="top" wrapText="1"/>
    </xf>
    <xf numFmtId="0" fontId="21" fillId="0" borderId="2" xfId="3" applyNumberFormat="1" applyFont="1" applyFill="1" applyBorder="1" applyAlignment="1" applyProtection="1">
      <alignment horizontal="left" vertical="top" wrapText="1"/>
    </xf>
    <xf numFmtId="0" fontId="21" fillId="0" borderId="2" xfId="3" applyNumberFormat="1" applyFont="1" applyFill="1" applyBorder="1" applyAlignment="1" applyProtection="1">
      <alignment horizontal="center" vertical="top" wrapText="1"/>
    </xf>
    <xf numFmtId="0" fontId="3" fillId="0" borderId="0" xfId="1" applyBorder="1"/>
    <xf numFmtId="0" fontId="16" fillId="0" borderId="8" xfId="0" applyFont="1" applyBorder="1" applyAlignment="1">
      <alignment vertical="center"/>
    </xf>
    <xf numFmtId="164" fontId="7" fillId="0" borderId="8" xfId="4" applyFont="1" applyBorder="1" applyAlignment="1" applyProtection="1">
      <alignment vertical="center"/>
      <protection locked="0"/>
    </xf>
    <xf numFmtId="164" fontId="7" fillId="0" borderId="8" xfId="4" applyFont="1" applyBorder="1" applyAlignment="1" applyProtection="1">
      <alignment horizontal="right" vertical="center"/>
      <protection locked="0"/>
    </xf>
    <xf numFmtId="0" fontId="10" fillId="0" borderId="11" xfId="0" applyFont="1" applyBorder="1"/>
    <xf numFmtId="0" fontId="11" fillId="0" borderId="12" xfId="0" applyFont="1" applyBorder="1"/>
    <xf numFmtId="0" fontId="8" fillId="0" borderId="12" xfId="0" applyFont="1" applyBorder="1"/>
    <xf numFmtId="0" fontId="8" fillId="0" borderId="13" xfId="0" applyFont="1" applyBorder="1"/>
    <xf numFmtId="0" fontId="10" fillId="0" borderId="0" xfId="0" applyFont="1" applyAlignment="1">
      <alignment horizontal="right"/>
    </xf>
    <xf numFmtId="0" fontId="12" fillId="0" borderId="0" xfId="0" applyFont="1"/>
    <xf numFmtId="0" fontId="9" fillId="0" borderId="15" xfId="0" applyFont="1" applyBorder="1"/>
    <xf numFmtId="0" fontId="10" fillId="0" borderId="0" xfId="0" applyFont="1"/>
    <xf numFmtId="0" fontId="8" fillId="0" borderId="15" xfId="0" applyFont="1" applyBorder="1"/>
    <xf numFmtId="0" fontId="9" fillId="0" borderId="16" xfId="0" applyFont="1" applyBorder="1"/>
    <xf numFmtId="0" fontId="8" fillId="0" borderId="16" xfId="0" applyFont="1" applyBorder="1"/>
    <xf numFmtId="14" fontId="9" fillId="0" borderId="16" xfId="0" applyNumberFormat="1" applyFont="1" applyBorder="1"/>
    <xf numFmtId="0" fontId="8" fillId="0" borderId="18" xfId="0" applyFont="1" applyBorder="1"/>
    <xf numFmtId="4" fontId="8" fillId="0" borderId="12" xfId="0" applyNumberFormat="1" applyFont="1" applyBorder="1"/>
    <xf numFmtId="0" fontId="9" fillId="0" borderId="12" xfId="0" applyFont="1" applyBorder="1"/>
    <xf numFmtId="0" fontId="10" fillId="0" borderId="12" xfId="0" applyFont="1" applyBorder="1" applyAlignment="1">
      <alignment horizontal="left"/>
    </xf>
    <xf numFmtId="14" fontId="9" fillId="0" borderId="13" xfId="0" applyNumberFormat="1" applyFont="1" applyBorder="1"/>
    <xf numFmtId="0" fontId="8" fillId="0" borderId="15" xfId="0" applyFont="1" applyBorder="1" applyAlignment="1">
      <alignment horizontal="left"/>
    </xf>
    <xf numFmtId="0" fontId="8" fillId="0" borderId="14" xfId="0" applyFont="1" applyBorder="1"/>
    <xf numFmtId="0" fontId="8" fillId="0" borderId="17" xfId="0" applyFont="1" applyBorder="1"/>
    <xf numFmtId="0" fontId="13" fillId="0" borderId="18" xfId="1" applyFont="1" applyFill="1" applyBorder="1" applyAlignment="1"/>
    <xf numFmtId="0" fontId="3" fillId="0" borderId="14" xfId="1" applyBorder="1"/>
    <xf numFmtId="0" fontId="3" fillId="0" borderId="17" xfId="1" applyBorder="1"/>
    <xf numFmtId="0" fontId="8" fillId="3" borderId="8" xfId="0" applyFont="1" applyFill="1" applyBorder="1"/>
    <xf numFmtId="0" fontId="8" fillId="3" borderId="10" xfId="0" applyFont="1" applyFill="1" applyBorder="1"/>
    <xf numFmtId="0" fontId="8" fillId="3" borderId="9" xfId="0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0" fontId="8" fillId="3" borderId="13" xfId="0" applyFont="1" applyFill="1" applyBorder="1"/>
    <xf numFmtId="0" fontId="7" fillId="0" borderId="20" xfId="0" applyFont="1" applyBorder="1" applyAlignment="1">
      <alignment horizontal="center" wrapText="1"/>
    </xf>
    <xf numFmtId="164" fontId="7" fillId="0" borderId="21" xfId="4" applyFont="1" applyFill="1" applyBorder="1" applyAlignment="1">
      <alignment horizontal="right"/>
    </xf>
    <xf numFmtId="0" fontId="7" fillId="0" borderId="22" xfId="0" applyFont="1" applyBorder="1" applyAlignment="1">
      <alignment horizontal="center" wrapText="1"/>
    </xf>
    <xf numFmtId="164" fontId="7" fillId="0" borderId="23" xfId="4" applyFont="1" applyFill="1" applyBorder="1" applyAlignment="1">
      <alignment horizontal="right"/>
    </xf>
    <xf numFmtId="0" fontId="7" fillId="0" borderId="24" xfId="0" applyFont="1" applyBorder="1" applyAlignment="1">
      <alignment horizontal="center" wrapText="1"/>
    </xf>
    <xf numFmtId="164" fontId="7" fillId="0" borderId="25" xfId="4" applyFont="1" applyFill="1" applyBorder="1" applyAlignment="1">
      <alignment horizontal="right"/>
    </xf>
    <xf numFmtId="0" fontId="16" fillId="0" borderId="8" xfId="0" applyFont="1" applyBorder="1" applyAlignment="1">
      <alignment horizontal="center" wrapText="1"/>
    </xf>
    <xf numFmtId="0" fontId="7" fillId="0" borderId="10" xfId="0" applyFont="1" applyBorder="1"/>
    <xf numFmtId="0" fontId="16" fillId="0" borderId="10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14" fillId="0" borderId="9" xfId="0" applyNumberFormat="1" applyFont="1" applyBorder="1" applyAlignment="1">
      <alignment horizontal="center" wrapText="1"/>
    </xf>
    <xf numFmtId="164" fontId="14" fillId="0" borderId="1" xfId="0" applyNumberFormat="1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24" fillId="0" borderId="0" xfId="5" applyFont="1"/>
    <xf numFmtId="0" fontId="24" fillId="0" borderId="0" xfId="5" applyFont="1" applyAlignment="1">
      <alignment horizontal="center"/>
    </xf>
    <xf numFmtId="0" fontId="24" fillId="0" borderId="0" xfId="5" applyFont="1" applyAlignment="1">
      <alignment horizontal="center" wrapText="1"/>
    </xf>
    <xf numFmtId="0" fontId="23" fillId="0" borderId="0" xfId="5" applyFont="1"/>
    <xf numFmtId="0" fontId="26" fillId="0" borderId="0" xfId="5" applyFont="1"/>
    <xf numFmtId="0" fontId="24" fillId="4" borderId="18" xfId="5" applyFont="1" applyFill="1" applyBorder="1"/>
    <xf numFmtId="0" fontId="24" fillId="4" borderId="16" xfId="5" applyFont="1" applyFill="1" applyBorder="1"/>
    <xf numFmtId="0" fontId="24" fillId="4" borderId="16" xfId="5" applyFont="1" applyFill="1" applyBorder="1" applyAlignment="1">
      <alignment horizontal="center"/>
    </xf>
    <xf numFmtId="0" fontId="24" fillId="4" borderId="16" xfId="5" applyFont="1" applyFill="1" applyBorder="1" applyAlignment="1">
      <alignment horizontal="center" wrapText="1"/>
    </xf>
    <xf numFmtId="0" fontId="24" fillId="4" borderId="17" xfId="5" applyFont="1" applyFill="1" applyBorder="1"/>
    <xf numFmtId="4" fontId="24" fillId="0" borderId="1" xfId="5" applyNumberFormat="1" applyFont="1" applyBorder="1" applyAlignment="1" applyProtection="1">
      <alignment vertical="center"/>
      <protection locked="0"/>
    </xf>
    <xf numFmtId="0" fontId="24" fillId="0" borderId="15" xfId="5" applyFont="1" applyBorder="1" applyAlignment="1">
      <alignment vertical="center"/>
    </xf>
    <xf numFmtId="0" fontId="24" fillId="4" borderId="0" xfId="5" applyFont="1" applyFill="1"/>
    <xf numFmtId="0" fontId="24" fillId="4" borderId="0" xfId="5" applyFont="1" applyFill="1" applyAlignment="1">
      <alignment horizontal="center"/>
    </xf>
    <xf numFmtId="0" fontId="24" fillId="4" borderId="0" xfId="5" applyFont="1" applyFill="1" applyAlignment="1">
      <alignment horizontal="center" wrapText="1"/>
    </xf>
    <xf numFmtId="0" fontId="24" fillId="0" borderId="0" xfId="5" applyFont="1" applyAlignment="1">
      <alignment wrapText="1"/>
    </xf>
    <xf numFmtId="0" fontId="23" fillId="0" borderId="8" xfId="5" applyFont="1" applyBorder="1" applyAlignment="1">
      <alignment horizontal="left" wrapText="1"/>
    </xf>
    <xf numFmtId="0" fontId="24" fillId="0" borderId="9" xfId="5" applyFont="1" applyBorder="1"/>
    <xf numFmtId="165" fontId="24" fillId="0" borderId="8" xfId="6" applyFont="1" applyFill="1" applyBorder="1" applyAlignment="1"/>
    <xf numFmtId="0" fontId="24" fillId="0" borderId="9" xfId="5" applyFont="1" applyBorder="1" applyProtection="1">
      <protection locked="0"/>
    </xf>
    <xf numFmtId="0" fontId="24" fillId="0" borderId="26" xfId="5" applyFont="1" applyBorder="1"/>
    <xf numFmtId="165" fontId="24" fillId="0" borderId="27" xfId="5" applyNumberFormat="1" applyFont="1" applyBorder="1"/>
    <xf numFmtId="0" fontId="24" fillId="0" borderId="27" xfId="5" applyFont="1" applyBorder="1"/>
    <xf numFmtId="2" fontId="24" fillId="0" borderId="27" xfId="5" applyNumberFormat="1" applyFont="1" applyBorder="1" applyProtection="1">
      <protection locked="0"/>
    </xf>
    <xf numFmtId="0" fontId="24" fillId="0" borderId="27" xfId="5" applyFont="1" applyBorder="1" applyAlignment="1" applyProtection="1">
      <alignment horizontal="left" wrapText="1"/>
      <protection locked="0"/>
    </xf>
    <xf numFmtId="0" fontId="24" fillId="0" borderId="28" xfId="5" applyFont="1" applyBorder="1" applyAlignment="1" applyProtection="1">
      <alignment horizontal="left" wrapText="1"/>
      <protection locked="0"/>
    </xf>
    <xf numFmtId="0" fontId="24" fillId="0" borderId="29" xfId="5" applyFont="1" applyBorder="1"/>
    <xf numFmtId="165" fontId="24" fillId="0" borderId="30" xfId="5" applyNumberFormat="1" applyFont="1" applyBorder="1"/>
    <xf numFmtId="0" fontId="24" fillId="0" borderId="30" xfId="5" applyFont="1" applyBorder="1"/>
    <xf numFmtId="2" fontId="24" fillId="0" borderId="30" xfId="5" applyNumberFormat="1" applyFont="1" applyBorder="1" applyProtection="1">
      <protection locked="0"/>
    </xf>
    <xf numFmtId="0" fontId="24" fillId="0" borderId="30" xfId="5" applyFont="1" applyBorder="1" applyAlignment="1" applyProtection="1">
      <alignment horizontal="left" wrapText="1"/>
      <protection locked="0"/>
    </xf>
    <xf numFmtId="0" fontId="24" fillId="0" borderId="31" xfId="5" applyFont="1" applyBorder="1" applyAlignment="1" applyProtection="1">
      <alignment horizontal="left" wrapText="1"/>
      <protection locked="0"/>
    </xf>
    <xf numFmtId="0" fontId="23" fillId="0" borderId="0" xfId="5" applyFont="1" applyAlignment="1">
      <alignment wrapText="1"/>
    </xf>
    <xf numFmtId="0" fontId="23" fillId="0" borderId="0" xfId="5" applyFont="1" applyAlignment="1">
      <alignment horizontal="center" wrapText="1"/>
    </xf>
    <xf numFmtId="0" fontId="23" fillId="0" borderId="14" xfId="5" applyFont="1" applyBorder="1"/>
    <xf numFmtId="0" fontId="24" fillId="0" borderId="0" xfId="5" applyFont="1" applyAlignment="1">
      <alignment vertical="center"/>
    </xf>
    <xf numFmtId="0" fontId="23" fillId="0" borderId="10" xfId="5" applyFont="1" applyBorder="1" applyAlignment="1">
      <alignment horizontal="center" vertical="center" wrapText="1"/>
    </xf>
    <xf numFmtId="0" fontId="23" fillId="0" borderId="10" xfId="5" applyFont="1" applyBorder="1" applyAlignment="1" applyProtection="1">
      <alignment vertical="center" wrapText="1"/>
      <protection locked="0"/>
    </xf>
    <xf numFmtId="0" fontId="23" fillId="0" borderId="10" xfId="5" applyFont="1" applyBorder="1" applyAlignment="1">
      <alignment horizontal="center" vertical="center"/>
    </xf>
    <xf numFmtId="0" fontId="23" fillId="0" borderId="8" xfId="5" applyFont="1" applyBorder="1" applyAlignment="1">
      <alignment horizontal="left" vertical="center" wrapText="1"/>
    </xf>
    <xf numFmtId="0" fontId="24" fillId="4" borderId="13" xfId="5" applyFont="1" applyFill="1" applyBorder="1"/>
    <xf numFmtId="0" fontId="24" fillId="4" borderId="12" xfId="5" applyFont="1" applyFill="1" applyBorder="1"/>
    <xf numFmtId="0" fontId="24" fillId="4" borderId="12" xfId="5" applyFont="1" applyFill="1" applyBorder="1" applyAlignment="1">
      <alignment horizontal="center"/>
    </xf>
    <xf numFmtId="0" fontId="24" fillId="4" borderId="12" xfId="5" applyFont="1" applyFill="1" applyBorder="1" applyAlignment="1">
      <alignment horizontal="center" wrapText="1"/>
    </xf>
    <xf numFmtId="0" fontId="24" fillId="4" borderId="11" xfId="5" applyFont="1" applyFill="1" applyBorder="1"/>
    <xf numFmtId="0" fontId="24" fillId="0" borderId="18" xfId="5" applyFont="1" applyBorder="1"/>
    <xf numFmtId="0" fontId="24" fillId="0" borderId="16" xfId="5" applyFont="1" applyBorder="1"/>
    <xf numFmtId="0" fontId="24" fillId="0" borderId="17" xfId="5" applyFont="1" applyBorder="1"/>
    <xf numFmtId="0" fontId="24" fillId="0" borderId="15" xfId="5" applyFont="1" applyBorder="1"/>
    <xf numFmtId="0" fontId="24" fillId="0" borderId="14" xfId="5" applyFont="1" applyBorder="1"/>
    <xf numFmtId="0" fontId="24" fillId="0" borderId="13" xfId="5" applyFont="1" applyBorder="1"/>
    <xf numFmtId="0" fontId="24" fillId="0" borderId="12" xfId="5" applyFont="1" applyBorder="1" applyAlignment="1">
      <alignment horizontal="center"/>
    </xf>
    <xf numFmtId="0" fontId="26" fillId="0" borderId="12" xfId="5" applyFont="1" applyBorder="1"/>
    <xf numFmtId="0" fontId="26" fillId="0" borderId="11" xfId="5" applyFont="1" applyBorder="1"/>
    <xf numFmtId="0" fontId="24" fillId="0" borderId="12" xfId="5" applyFont="1" applyBorder="1" applyAlignment="1">
      <alignment horizontal="center" wrapText="1"/>
    </xf>
    <xf numFmtId="0" fontId="22" fillId="0" borderId="11" xfId="5" applyFont="1" applyBorder="1"/>
    <xf numFmtId="14" fontId="24" fillId="0" borderId="14" xfId="5" applyNumberFormat="1" applyFont="1" applyBorder="1" applyAlignment="1" applyProtection="1">
      <alignment horizontal="center"/>
      <protection locked="0"/>
    </xf>
    <xf numFmtId="14" fontId="24" fillId="0" borderId="0" xfId="5" applyNumberFormat="1" applyFont="1" applyAlignment="1" applyProtection="1">
      <alignment horizontal="center"/>
      <protection locked="0"/>
    </xf>
    <xf numFmtId="14" fontId="24" fillId="0" borderId="15" xfId="5" applyNumberFormat="1" applyFont="1" applyBorder="1" applyAlignment="1" applyProtection="1">
      <alignment horizontal="center"/>
      <protection locked="0"/>
    </xf>
    <xf numFmtId="0" fontId="23" fillId="0" borderId="0" xfId="5" applyFont="1" applyAlignment="1">
      <alignment horizontal="center" wrapText="1"/>
    </xf>
    <xf numFmtId="0" fontId="23" fillId="0" borderId="12" xfId="5" applyFont="1" applyBorder="1" applyAlignment="1">
      <alignment horizontal="center"/>
    </xf>
    <xf numFmtId="0" fontId="24" fillId="0" borderId="0" xfId="5" applyFont="1" applyAlignment="1">
      <alignment horizontal="center"/>
    </xf>
    <xf numFmtId="0" fontId="24" fillId="0" borderId="15" xfId="5" applyFont="1" applyBorder="1" applyAlignment="1">
      <alignment horizontal="center"/>
    </xf>
    <xf numFmtId="0" fontId="24" fillId="0" borderId="17" xfId="5" applyFont="1" applyBorder="1" applyAlignment="1" applyProtection="1">
      <alignment horizontal="left"/>
      <protection locked="0"/>
    </xf>
    <xf numFmtId="0" fontId="24" fillId="0" borderId="16" xfId="5" applyFont="1" applyBorder="1" applyAlignment="1" applyProtection="1">
      <alignment horizontal="left"/>
      <protection locked="0"/>
    </xf>
    <xf numFmtId="0" fontId="14" fillId="0" borderId="14" xfId="5" applyFont="1" applyBorder="1" applyAlignment="1">
      <alignment horizontal="center"/>
    </xf>
    <xf numFmtId="0" fontId="14" fillId="0" borderId="0" xfId="5" applyFont="1" applyAlignment="1">
      <alignment horizontal="center"/>
    </xf>
    <xf numFmtId="0" fontId="14" fillId="0" borderId="15" xfId="5" applyFont="1" applyBorder="1" applyAlignment="1">
      <alignment horizontal="center"/>
    </xf>
    <xf numFmtId="0" fontId="24" fillId="0" borderId="14" xfId="5" applyFont="1" applyBorder="1" applyAlignment="1" applyProtection="1">
      <alignment horizontal="center"/>
      <protection locked="0"/>
    </xf>
    <xf numFmtId="0" fontId="24" fillId="0" borderId="0" xfId="5" applyFont="1" applyAlignment="1" applyProtection="1">
      <alignment horizontal="center"/>
      <protection locked="0"/>
    </xf>
    <xf numFmtId="0" fontId="24" fillId="0" borderId="15" xfId="5" applyFont="1" applyBorder="1" applyAlignment="1" applyProtection="1">
      <alignment horizontal="center"/>
      <protection locked="0"/>
    </xf>
    <xf numFmtId="0" fontId="23" fillId="0" borderId="10" xfId="5" applyFont="1" applyBorder="1" applyAlignment="1">
      <alignment horizontal="center" vertical="center" wrapText="1"/>
    </xf>
    <xf numFmtId="0" fontId="24" fillId="0" borderId="18" xfId="5" applyFont="1" applyBorder="1" applyAlignment="1" applyProtection="1">
      <alignment horizontal="left"/>
      <protection locked="0"/>
    </xf>
    <xf numFmtId="0" fontId="24" fillId="0" borderId="14" xfId="5" applyFont="1" applyBorder="1" applyAlignment="1" applyProtection="1">
      <alignment horizontal="left"/>
      <protection locked="0"/>
    </xf>
    <xf numFmtId="0" fontId="24" fillId="0" borderId="0" xfId="5" applyFont="1" applyAlignment="1" applyProtection="1">
      <alignment horizontal="left"/>
      <protection locked="0"/>
    </xf>
    <xf numFmtId="0" fontId="24" fillId="0" borderId="15" xfId="5" applyFont="1" applyBorder="1" applyAlignment="1" applyProtection="1">
      <alignment horizontal="left"/>
      <protection locked="0"/>
    </xf>
    <xf numFmtId="0" fontId="24" fillId="0" borderId="14" xfId="5" applyFont="1" applyBorder="1" applyAlignment="1">
      <alignment horizontal="left"/>
    </xf>
    <xf numFmtId="0" fontId="24" fillId="0" borderId="0" xfId="5" applyFont="1" applyAlignment="1">
      <alignment horizontal="left"/>
    </xf>
    <xf numFmtId="0" fontId="24" fillId="0" borderId="15" xfId="5" applyFont="1" applyBorder="1" applyAlignment="1">
      <alignment horizontal="left"/>
    </xf>
    <xf numFmtId="0" fontId="23" fillId="0" borderId="14" xfId="5" applyFont="1" applyBorder="1" applyAlignment="1" applyProtection="1">
      <alignment horizontal="left"/>
      <protection locked="0"/>
    </xf>
    <xf numFmtId="0" fontId="23" fillId="0" borderId="0" xfId="5" applyFont="1" applyAlignment="1" applyProtection="1">
      <alignment horizontal="left"/>
      <protection locked="0"/>
    </xf>
    <xf numFmtId="0" fontId="23" fillId="0" borderId="15" xfId="5" applyFont="1" applyBorder="1" applyAlignment="1" applyProtection="1">
      <alignment horizontal="left"/>
      <protection locked="0"/>
    </xf>
    <xf numFmtId="14" fontId="24" fillId="0" borderId="1" xfId="5" applyNumberFormat="1" applyFont="1" applyBorder="1" applyAlignment="1" applyProtection="1">
      <alignment horizontal="left" vertical="center"/>
      <protection locked="0"/>
    </xf>
    <xf numFmtId="0" fontId="27" fillId="0" borderId="11" xfId="5" applyFont="1" applyBorder="1" applyAlignment="1">
      <alignment horizontal="center" vertical="center" wrapText="1"/>
    </xf>
    <xf numFmtId="0" fontId="27" fillId="0" borderId="12" xfId="5" applyFont="1" applyBorder="1" applyAlignment="1">
      <alignment horizontal="center" vertical="center" wrapText="1"/>
    </xf>
    <xf numFmtId="0" fontId="27" fillId="0" borderId="14" xfId="5" applyFont="1" applyBorder="1" applyAlignment="1">
      <alignment horizontal="center" vertical="center" wrapText="1"/>
    </xf>
    <xf numFmtId="0" fontId="27" fillId="0" borderId="0" xfId="5" applyFont="1" applyAlignment="1">
      <alignment horizontal="center" vertical="center" wrapText="1"/>
    </xf>
    <xf numFmtId="0" fontId="27" fillId="0" borderId="17" xfId="5" applyFont="1" applyBorder="1" applyAlignment="1">
      <alignment horizontal="center" vertical="center" wrapText="1"/>
    </xf>
    <xf numFmtId="0" fontId="27" fillId="0" borderId="16" xfId="5" applyFont="1" applyBorder="1" applyAlignment="1">
      <alignment horizontal="center" vertical="center" wrapText="1"/>
    </xf>
    <xf numFmtId="0" fontId="28" fillId="0" borderId="11" xfId="5" applyFont="1" applyBorder="1" applyAlignment="1">
      <alignment horizontal="center"/>
    </xf>
    <xf numFmtId="0" fontId="28" fillId="0" borderId="12" xfId="5" applyFont="1" applyBorder="1" applyAlignment="1">
      <alignment horizontal="center"/>
    </xf>
    <xf numFmtId="0" fontId="28" fillId="0" borderId="13" xfId="5" applyFont="1" applyBorder="1" applyAlignment="1">
      <alignment horizontal="center"/>
    </xf>
    <xf numFmtId="0" fontId="26" fillId="0" borderId="14" xfId="5" applyFont="1" applyBorder="1" applyAlignment="1">
      <alignment horizontal="left"/>
    </xf>
    <xf numFmtId="0" fontId="26" fillId="0" borderId="0" xfId="5" applyFont="1" applyAlignment="1">
      <alignment horizontal="left"/>
    </xf>
    <xf numFmtId="0" fontId="23" fillId="0" borderId="14" xfId="5" applyFont="1" applyBorder="1" applyAlignment="1">
      <alignment horizontal="left"/>
    </xf>
    <xf numFmtId="0" fontId="23" fillId="0" borderId="0" xfId="5" applyFont="1" applyAlignment="1">
      <alignment horizontal="left"/>
    </xf>
    <xf numFmtId="0" fontId="24" fillId="0" borderId="17" xfId="5" applyFont="1" applyBorder="1" applyAlignment="1">
      <alignment horizontal="left"/>
    </xf>
    <xf numFmtId="0" fontId="24" fillId="0" borderId="16" xfId="5" applyFont="1" applyBorder="1" applyAlignment="1">
      <alignment horizontal="left"/>
    </xf>
    <xf numFmtId="0" fontId="24" fillId="0" borderId="27" xfId="5" applyFont="1" applyBorder="1" applyAlignment="1" applyProtection="1">
      <alignment horizontal="left" wrapText="1"/>
      <protection locked="0"/>
    </xf>
    <xf numFmtId="9" fontId="24" fillId="0" borderId="27" xfId="5" applyNumberFormat="1" applyFont="1" applyBorder="1" applyAlignment="1" applyProtection="1">
      <alignment horizontal="left" wrapText="1"/>
      <protection locked="0"/>
    </xf>
    <xf numFmtId="165" fontId="24" fillId="0" borderId="27" xfId="6" applyFont="1" applyBorder="1" applyAlignment="1" applyProtection="1">
      <alignment horizontal="center"/>
      <protection locked="0"/>
    </xf>
    <xf numFmtId="0" fontId="23" fillId="0" borderId="10" xfId="5" applyFont="1" applyBorder="1" applyAlignment="1">
      <alignment horizontal="center" vertical="center"/>
    </xf>
    <xf numFmtId="0" fontId="23" fillId="0" borderId="8" xfId="5" applyFont="1" applyBorder="1" applyAlignment="1">
      <alignment horizontal="left" vertical="center"/>
    </xf>
    <xf numFmtId="0" fontId="23" fillId="0" borderId="9" xfId="5" applyFont="1" applyBorder="1" applyAlignment="1">
      <alignment horizontal="left" vertical="center"/>
    </xf>
    <xf numFmtId="0" fontId="24" fillId="0" borderId="30" xfId="5" applyFont="1" applyBorder="1" applyAlignment="1" applyProtection="1">
      <alignment horizontal="left" wrapText="1"/>
      <protection locked="0"/>
    </xf>
    <xf numFmtId="0" fontId="24" fillId="0" borderId="8" xfId="5" applyFont="1" applyBorder="1" applyAlignment="1">
      <alignment horizontal="left"/>
    </xf>
    <xf numFmtId="0" fontId="24" fillId="0" borderId="10" xfId="5" applyFont="1" applyBorder="1" applyAlignment="1">
      <alignment horizontal="left"/>
    </xf>
    <xf numFmtId="165" fontId="24" fillId="0" borderId="8" xfId="6" applyFont="1" applyFill="1" applyBorder="1" applyAlignment="1">
      <alignment horizontal="center"/>
    </xf>
    <xf numFmtId="165" fontId="24" fillId="0" borderId="10" xfId="6" applyFont="1" applyFill="1" applyBorder="1" applyAlignment="1">
      <alignment horizontal="center"/>
    </xf>
    <xf numFmtId="9" fontId="24" fillId="0" borderId="30" xfId="5" applyNumberFormat="1" applyFont="1" applyBorder="1" applyAlignment="1" applyProtection="1">
      <alignment horizontal="left" wrapText="1"/>
      <protection locked="0"/>
    </xf>
    <xf numFmtId="0" fontId="23" fillId="0" borderId="14" xfId="5" applyFont="1" applyBorder="1" applyAlignment="1">
      <alignment horizontal="left" vertical="center"/>
    </xf>
    <xf numFmtId="0" fontId="23" fillId="0" borderId="0" xfId="5" applyFont="1" applyAlignment="1">
      <alignment horizontal="left" vertical="center"/>
    </xf>
    <xf numFmtId="0" fontId="23" fillId="0" borderId="15" xfId="5" applyFont="1" applyBorder="1" applyAlignment="1">
      <alignment horizontal="left" vertical="center"/>
    </xf>
    <xf numFmtId="0" fontId="24" fillId="0" borderId="14" xfId="5" applyFont="1" applyBorder="1" applyAlignment="1">
      <alignment horizontal="left" vertical="center"/>
    </xf>
    <xf numFmtId="0" fontId="24" fillId="0" borderId="0" xfId="5" applyFont="1" applyAlignment="1">
      <alignment horizontal="left" vertical="center"/>
    </xf>
    <xf numFmtId="0" fontId="24" fillId="0" borderId="15" xfId="5" applyFont="1" applyBorder="1" applyAlignment="1">
      <alignment horizontal="left" vertical="center"/>
    </xf>
    <xf numFmtId="14" fontId="24" fillId="0" borderId="11" xfId="5" applyNumberFormat="1" applyFont="1" applyBorder="1" applyAlignment="1">
      <alignment horizontal="left" vertical="center"/>
    </xf>
    <xf numFmtId="14" fontId="24" fillId="0" borderId="12" xfId="5" applyNumberFormat="1" applyFont="1" applyBorder="1" applyAlignment="1">
      <alignment horizontal="left" vertical="center"/>
    </xf>
    <xf numFmtId="14" fontId="24" fillId="0" borderId="13" xfId="5" applyNumberFormat="1" applyFont="1" applyBorder="1" applyAlignment="1">
      <alignment horizontal="left" vertical="center"/>
    </xf>
    <xf numFmtId="0" fontId="23" fillId="0" borderId="11" xfId="5" applyFont="1" applyBorder="1" applyAlignment="1">
      <alignment horizontal="left" vertical="center"/>
    </xf>
    <xf numFmtId="0" fontId="23" fillId="0" borderId="12" xfId="5" applyFont="1" applyBorder="1" applyAlignment="1">
      <alignment horizontal="left" vertical="center"/>
    </xf>
    <xf numFmtId="0" fontId="23" fillId="0" borderId="13" xfId="5" applyFont="1" applyBorder="1" applyAlignment="1">
      <alignment horizontal="left" vertical="center"/>
    </xf>
    <xf numFmtId="0" fontId="24" fillId="0" borderId="10" xfId="5" applyFont="1" applyBorder="1" applyAlignment="1">
      <alignment horizontal="left" vertical="top" wrapText="1"/>
    </xf>
    <xf numFmtId="0" fontId="24" fillId="0" borderId="9" xfId="5" applyFont="1" applyBorder="1" applyAlignment="1">
      <alignment horizontal="left" vertical="top" wrapText="1"/>
    </xf>
    <xf numFmtId="1" fontId="24" fillId="0" borderId="8" xfId="5" applyNumberFormat="1" applyFont="1" applyBorder="1" applyAlignment="1" applyProtection="1">
      <alignment horizontal="left" vertical="center"/>
      <protection locked="0"/>
    </xf>
    <xf numFmtId="1" fontId="24" fillId="0" borderId="9" xfId="5" applyNumberFormat="1" applyFont="1" applyBorder="1" applyAlignment="1" applyProtection="1">
      <alignment horizontal="left" vertical="center"/>
      <protection locked="0"/>
    </xf>
    <xf numFmtId="0" fontId="23" fillId="0" borderId="9" xfId="5" applyFont="1" applyBorder="1" applyAlignment="1">
      <alignment horizontal="center" vertical="center" wrapText="1"/>
    </xf>
    <xf numFmtId="165" fontId="24" fillId="0" borderId="30" xfId="6" applyFont="1" applyBorder="1" applyAlignment="1" applyProtection="1">
      <alignment horizontal="center"/>
      <protection locked="0"/>
    </xf>
    <xf numFmtId="0" fontId="23" fillId="0" borderId="8" xfId="5" applyFont="1" applyBorder="1" applyAlignment="1">
      <alignment horizontal="right" vertical="center"/>
    </xf>
    <xf numFmtId="0" fontId="23" fillId="0" borderId="9" xfId="5" applyFont="1" applyBorder="1" applyAlignment="1">
      <alignment horizontal="right" vertical="center"/>
    </xf>
    <xf numFmtId="0" fontId="23" fillId="0" borderId="10" xfId="5" applyFont="1" applyBorder="1" applyAlignment="1">
      <alignment horizontal="right"/>
    </xf>
    <xf numFmtId="0" fontId="23" fillId="0" borderId="9" xfId="5" applyFont="1" applyBorder="1" applyAlignment="1">
      <alignment horizontal="right"/>
    </xf>
    <xf numFmtId="0" fontId="23" fillId="0" borderId="8" xfId="5" applyFont="1" applyBorder="1" applyAlignment="1" applyProtection="1">
      <alignment horizontal="left" vertical="center"/>
      <protection locked="0"/>
    </xf>
    <xf numFmtId="0" fontId="23" fillId="0" borderId="9" xfId="5" applyFont="1" applyBorder="1" applyAlignment="1" applyProtection="1">
      <alignment horizontal="left" vertical="center"/>
      <protection locked="0"/>
    </xf>
    <xf numFmtId="0" fontId="23" fillId="0" borderId="11" xfId="5" applyFont="1" applyBorder="1" applyAlignment="1">
      <alignment horizontal="center" vertical="center"/>
    </xf>
    <xf numFmtId="0" fontId="23" fillId="0" borderId="12" xfId="5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0" fontId="24" fillId="0" borderId="8" xfId="5" applyFont="1" applyBorder="1" applyAlignment="1" applyProtection="1">
      <alignment horizontal="left" vertical="center"/>
      <protection locked="0"/>
    </xf>
    <xf numFmtId="0" fontId="24" fillId="0" borderId="10" xfId="5" applyFont="1" applyBorder="1" applyAlignment="1" applyProtection="1">
      <alignment horizontal="left" vertical="center"/>
      <protection locked="0"/>
    </xf>
    <xf numFmtId="0" fontId="24" fillId="0" borderId="9" xfId="5" applyFont="1" applyBorder="1" applyAlignment="1" applyProtection="1">
      <alignment horizontal="left" vertical="center"/>
      <protection locked="0"/>
    </xf>
    <xf numFmtId="0" fontId="24" fillId="0" borderId="17" xfId="5" applyFont="1" applyBorder="1" applyAlignment="1">
      <alignment horizontal="left" vertical="center"/>
    </xf>
    <xf numFmtId="0" fontId="24" fillId="0" borderId="16" xfId="5" applyFont="1" applyBorder="1" applyAlignment="1">
      <alignment horizontal="left" vertical="center"/>
    </xf>
    <xf numFmtId="0" fontId="24" fillId="0" borderId="18" xfId="5" applyFont="1" applyBorder="1" applyAlignment="1">
      <alignment horizontal="left" vertical="center"/>
    </xf>
    <xf numFmtId="0" fontId="23" fillId="0" borderId="17" xfId="5" applyFont="1" applyBorder="1" applyAlignment="1">
      <alignment horizontal="left" vertical="center"/>
    </xf>
    <xf numFmtId="0" fontId="23" fillId="0" borderId="16" xfId="5" applyFont="1" applyBorder="1" applyAlignment="1">
      <alignment horizontal="left" vertical="center"/>
    </xf>
    <xf numFmtId="0" fontId="23" fillId="0" borderId="18" xfId="5" applyFont="1" applyBorder="1" applyAlignment="1">
      <alignment horizontal="left" vertic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14" fontId="8" fillId="0" borderId="6" xfId="0" applyNumberFormat="1" applyFont="1" applyBorder="1" applyAlignment="1">
      <alignment horizontal="center"/>
    </xf>
    <xf numFmtId="14" fontId="8" fillId="0" borderId="19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7" fillId="0" borderId="1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3" fillId="0" borderId="8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14" fontId="7" fillId="0" borderId="17" xfId="0" applyNumberFormat="1" applyFont="1" applyBorder="1" applyAlignment="1" applyProtection="1">
      <alignment horizontal="left" vertical="center"/>
      <protection locked="0"/>
    </xf>
    <xf numFmtId="14" fontId="7" fillId="0" borderId="16" xfId="0" applyNumberFormat="1" applyFont="1" applyBorder="1" applyAlignment="1" applyProtection="1">
      <alignment horizontal="left" vertical="center"/>
      <protection locked="0"/>
    </xf>
    <xf numFmtId="14" fontId="7" fillId="0" borderId="18" xfId="0" applyNumberFormat="1" applyFont="1" applyBorder="1" applyAlignment="1" applyProtection="1">
      <alignment horizontal="left" vertical="center"/>
      <protection locked="0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14" fontId="7" fillId="0" borderId="8" xfId="0" applyNumberFormat="1" applyFont="1" applyBorder="1" applyAlignment="1" applyProtection="1">
      <alignment horizontal="left" vertical="center"/>
      <protection locked="0"/>
    </xf>
    <xf numFmtId="14" fontId="7" fillId="0" borderId="10" xfId="0" applyNumberFormat="1" applyFont="1" applyBorder="1" applyAlignment="1" applyProtection="1">
      <alignment horizontal="left" vertical="center"/>
      <protection locked="0"/>
    </xf>
    <xf numFmtId="14" fontId="7" fillId="0" borderId="9" xfId="0" applyNumberFormat="1" applyFont="1" applyBorder="1" applyAlignment="1" applyProtection="1">
      <alignment horizontal="left" vertical="center"/>
      <protection locked="0"/>
    </xf>
    <xf numFmtId="2" fontId="7" fillId="0" borderId="10" xfId="0" applyNumberFormat="1" applyFont="1" applyBorder="1" applyAlignment="1" applyProtection="1">
      <alignment horizontal="left" vertical="center"/>
      <protection locked="0"/>
    </xf>
    <xf numFmtId="2" fontId="7" fillId="0" borderId="9" xfId="0" applyNumberFormat="1" applyFont="1" applyBorder="1" applyAlignment="1" applyProtection="1">
      <alignment horizontal="left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  <protection locked="0"/>
    </xf>
    <xf numFmtId="1" fontId="7" fillId="0" borderId="9" xfId="0" applyNumberFormat="1" applyFont="1" applyBorder="1" applyAlignment="1" applyProtection="1">
      <alignment horizontal="center" vertical="center"/>
      <protection locked="0"/>
    </xf>
    <xf numFmtId="0" fontId="7" fillId="0" borderId="8" xfId="4" applyNumberFormat="1" applyFont="1" applyBorder="1" applyAlignment="1" applyProtection="1">
      <alignment horizontal="center" vertical="center"/>
      <protection locked="0"/>
    </xf>
    <xf numFmtId="0" fontId="7" fillId="0" borderId="10" xfId="4" applyNumberFormat="1" applyFont="1" applyBorder="1" applyAlignment="1" applyProtection="1">
      <alignment horizontal="center" vertical="center"/>
      <protection locked="0"/>
    </xf>
    <xf numFmtId="0" fontId="7" fillId="0" borderId="9" xfId="4" applyNumberFormat="1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14" fontId="9" fillId="0" borderId="19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29" fillId="0" borderId="1" xfId="5" applyFont="1" applyBorder="1" applyAlignment="1" applyProtection="1">
      <alignment horizontal="left" vertical="center"/>
      <protection locked="0"/>
    </xf>
    <xf numFmtId="0" fontId="25" fillId="0" borderId="0" xfId="5"/>
    <xf numFmtId="0" fontId="25" fillId="0" borderId="1" xfId="5" applyBorder="1"/>
    <xf numFmtId="14" fontId="30" fillId="0" borderId="1" xfId="5" applyNumberFormat="1" applyFont="1" applyBorder="1" applyAlignment="1" applyProtection="1">
      <alignment horizontal="left" vertical="center"/>
      <protection locked="0"/>
    </xf>
    <xf numFmtId="0" fontId="30" fillId="0" borderId="1" xfId="5" applyFont="1" applyBorder="1" applyAlignment="1" applyProtection="1">
      <alignment horizontal="left" vertical="center"/>
      <protection locked="0"/>
    </xf>
    <xf numFmtId="0" fontId="30" fillId="0" borderId="1" xfId="5" applyFont="1" applyBorder="1" applyAlignment="1" applyProtection="1">
      <alignment vertical="center"/>
      <protection locked="0"/>
    </xf>
    <xf numFmtId="14" fontId="30" fillId="0" borderId="1" xfId="5" applyNumberFormat="1" applyFont="1" applyBorder="1" applyAlignment="1" applyProtection="1">
      <alignment vertical="center"/>
      <protection locked="0"/>
    </xf>
  </cellXfs>
  <cellStyles count="7">
    <cellStyle name="Köprü" xfId="1" builtinId="8"/>
    <cellStyle name="Normal" xfId="0" builtinId="0"/>
    <cellStyle name="Normal 2" xfId="2" xr:uid="{FB83C59D-52E5-4AAD-9D47-F2ADE2181C69}"/>
    <cellStyle name="Normal 3" xfId="3" xr:uid="{C6E2BF12-364C-4BBA-8698-70F8C9EB775A}"/>
    <cellStyle name="Normal 4" xfId="5" xr:uid="{5A070A14-89BE-42A5-B4DA-6761F8D34E80}"/>
    <cellStyle name="Virgül" xfId="4" builtinId="3"/>
    <cellStyle name="Virgül 2" xfId="6" xr:uid="{123662BC-4F16-4881-822E-A6266ED8EE8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3333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FFFFE1"/>
      <rgbColor rgb="00000080"/>
      <rgbColor rgb="00D9EAF7"/>
      <rgbColor rgb="00316AC5"/>
      <rgbColor rgb="00A0A0A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110012</xdr:colOff>
      <xdr:row>31</xdr:row>
      <xdr:rowOff>82037</xdr:rowOff>
    </xdr:from>
    <xdr:ext cx="2230217" cy="778093"/>
    <xdr:pic>
      <xdr:nvPicPr>
        <xdr:cNvPr id="2" name="Kase">
          <a:extLst>
            <a:ext uri="{FF2B5EF4-FFF2-40B4-BE49-F238E27FC236}">
              <a16:creationId xmlns:a16="http://schemas.microsoft.com/office/drawing/2014/main" id="{27867ED3-5376-4D4C-8394-329A33A2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120000">
          <a:off x="704372" y="5985632"/>
          <a:ext cx="2230217" cy="778093"/>
        </a:xfrm>
        <a:prstGeom prst="rect">
          <a:avLst/>
        </a:prstGeom>
      </xdr:spPr>
    </xdr:pic>
    <xdr:clientData/>
  </xdr:oneCellAnchor>
  <xdr:oneCellAnchor>
    <xdr:from>
      <xdr:col>11</xdr:col>
      <xdr:colOff>30480</xdr:colOff>
      <xdr:row>1</xdr:row>
      <xdr:rowOff>22860</xdr:rowOff>
    </xdr:from>
    <xdr:ext cx="1595989" cy="702904"/>
    <xdr:pic>
      <xdr:nvPicPr>
        <xdr:cNvPr id="3" name="Resim 2">
          <a:extLst>
            <a:ext uri="{FF2B5EF4-FFF2-40B4-BE49-F238E27FC236}">
              <a16:creationId xmlns:a16="http://schemas.microsoft.com/office/drawing/2014/main" id="{C017E91A-8807-4F25-8D79-C2A2F5E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0345" y="217170"/>
          <a:ext cx="1595989" cy="702904"/>
        </a:xfrm>
        <a:prstGeom prst="rect">
          <a:avLst/>
        </a:prstGeom>
      </xdr:spPr>
    </xdr:pic>
    <xdr:clientData/>
  </xdr:oneCellAnchor>
  <xdr:oneCellAnchor>
    <xdr:from>
      <xdr:col>5</xdr:col>
      <xdr:colOff>33020</xdr:colOff>
      <xdr:row>32</xdr:row>
      <xdr:rowOff>24289</xdr:rowOff>
    </xdr:from>
    <xdr:ext cx="1191137" cy="156479"/>
    <xdr:sp macro="[0]!SatirEkle" textlink="">
      <xdr:nvSpPr>
        <xdr:cNvPr id="4" name="Dikdörtgen 3">
          <a:extLst>
            <a:ext uri="{FF2B5EF4-FFF2-40B4-BE49-F238E27FC236}">
              <a16:creationId xmlns:a16="http://schemas.microsoft.com/office/drawing/2014/main" id="{8F1770D0-FEBC-4A6A-99D4-B1C04B906BD8}"/>
            </a:ext>
          </a:extLst>
        </xdr:cNvPr>
        <xdr:cNvSpPr/>
      </xdr:nvSpPr>
      <xdr:spPr>
        <a:xfrm>
          <a:off x="3006725" y="6122194"/>
          <a:ext cx="1191137" cy="15647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Ürün Satırı Ekleme</a:t>
          </a:r>
          <a:endParaRPr lang="tr-TR" sz="1100"/>
        </a:p>
      </xdr:txBody>
    </xdr:sp>
    <xdr:clientData fPrintsWithSheet="0"/>
  </xdr:oneCellAnchor>
  <xdr:oneCellAnchor>
    <xdr:from>
      <xdr:col>7</xdr:col>
      <xdr:colOff>164147</xdr:colOff>
      <xdr:row>32</xdr:row>
      <xdr:rowOff>23654</xdr:rowOff>
    </xdr:from>
    <xdr:ext cx="1226281" cy="167274"/>
    <xdr:sp macro="[0]!SatirSil" textlink="">
      <xdr:nvSpPr>
        <xdr:cNvPr id="5" name="Dikdörtgen 4">
          <a:extLst>
            <a:ext uri="{FF2B5EF4-FFF2-40B4-BE49-F238E27FC236}">
              <a16:creationId xmlns:a16="http://schemas.microsoft.com/office/drawing/2014/main" id="{6F06AEA7-4393-4E2C-AE14-D84EAAD645FC}"/>
            </a:ext>
          </a:extLst>
        </xdr:cNvPr>
        <xdr:cNvSpPr/>
      </xdr:nvSpPr>
      <xdr:spPr>
        <a:xfrm>
          <a:off x="4322762" y="6123464"/>
          <a:ext cx="1226281" cy="1672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Ürün Satırı Silme</a:t>
          </a:r>
        </a:p>
      </xdr:txBody>
    </xdr:sp>
    <xdr:clientData fPrintsWithSheet="0"/>
  </xdr:oneCellAnchor>
  <xdr:oneCellAnchor>
    <xdr:from>
      <xdr:col>5</xdr:col>
      <xdr:colOff>26987</xdr:colOff>
      <xdr:row>33</xdr:row>
      <xdr:rowOff>53498</xdr:rowOff>
    </xdr:from>
    <xdr:ext cx="1186057" cy="161560"/>
    <xdr:sp macro="[0]!KaseAcKapat" textlink="">
      <xdr:nvSpPr>
        <xdr:cNvPr id="6" name="Dikdörtgen 5">
          <a:extLst>
            <a:ext uri="{FF2B5EF4-FFF2-40B4-BE49-F238E27FC236}">
              <a16:creationId xmlns:a16="http://schemas.microsoft.com/office/drawing/2014/main" id="{E283DE29-16B5-4FEE-B5BD-40B791103D88}"/>
            </a:ext>
          </a:extLst>
        </xdr:cNvPr>
        <xdr:cNvSpPr/>
      </xdr:nvSpPr>
      <xdr:spPr>
        <a:xfrm>
          <a:off x="3000692" y="6343808"/>
          <a:ext cx="1186057" cy="1615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Kaşe</a:t>
          </a:r>
          <a:r>
            <a:rPr lang="tr-T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Ekle / Çıkar</a:t>
          </a:r>
          <a:endParaRPr lang="tr-TR" sz="1100"/>
        </a:p>
      </xdr:txBody>
    </xdr:sp>
    <xdr:clientData fPrintsWithSheet="0"/>
  </xdr:oneCellAnchor>
  <xdr:oneCellAnchor>
    <xdr:from>
      <xdr:col>7</xdr:col>
      <xdr:colOff>164465</xdr:colOff>
      <xdr:row>33</xdr:row>
      <xdr:rowOff>44926</xdr:rowOff>
    </xdr:from>
    <xdr:ext cx="1226281" cy="169180"/>
    <xdr:sp macro="[0]!PDF_Kaydet" textlink="">
      <xdr:nvSpPr>
        <xdr:cNvPr id="7" name="Dikdörtgen 6">
          <a:extLst>
            <a:ext uri="{FF2B5EF4-FFF2-40B4-BE49-F238E27FC236}">
              <a16:creationId xmlns:a16="http://schemas.microsoft.com/office/drawing/2014/main" id="{6394A1BB-FF15-432C-ADC0-2B8B0A67D3CA}"/>
            </a:ext>
          </a:extLst>
        </xdr:cNvPr>
        <xdr:cNvSpPr/>
      </xdr:nvSpPr>
      <xdr:spPr>
        <a:xfrm>
          <a:off x="4323080" y="6329521"/>
          <a:ext cx="1226281" cy="169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PDF Kaydet</a:t>
          </a:r>
          <a:endParaRPr lang="tr-TR" sz="1100"/>
        </a:p>
      </xdr:txBody>
    </xdr:sp>
    <xdr:clientData fPrintsWithSheet="0"/>
  </xdr:oneCellAnchor>
  <xdr:oneCellAnchor>
    <xdr:from>
      <xdr:col>5</xdr:col>
      <xdr:colOff>20955</xdr:colOff>
      <xdr:row>34</xdr:row>
      <xdr:rowOff>96560</xdr:rowOff>
    </xdr:from>
    <xdr:ext cx="2593948" cy="254457"/>
    <xdr:sp macro="[0]!AdminKilit_Kontrol" textlink="">
      <xdr:nvSpPr>
        <xdr:cNvPr id="8" name="Dikdörtgen 7">
          <a:extLst>
            <a:ext uri="{FF2B5EF4-FFF2-40B4-BE49-F238E27FC236}">
              <a16:creationId xmlns:a16="http://schemas.microsoft.com/office/drawing/2014/main" id="{91DDD9C7-A393-4276-9668-93A0BF917409}"/>
            </a:ext>
          </a:extLst>
        </xdr:cNvPr>
        <xdr:cNvSpPr/>
      </xdr:nvSpPr>
      <xdr:spPr>
        <a:xfrm>
          <a:off x="2996565" y="6577370"/>
          <a:ext cx="2593948" cy="2544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Versiyon 2026.001.9</a:t>
          </a:r>
          <a:r>
            <a:rPr lang="tr-TR" sz="1100" baseline="0"/>
            <a:t> HK</a:t>
          </a:r>
          <a:endParaRPr lang="tr-TR" sz="1100"/>
        </a:p>
      </xdr:txBody>
    </xdr:sp>
    <xdr:clientData fPrint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110012</xdr:colOff>
      <xdr:row>31</xdr:row>
      <xdr:rowOff>82037</xdr:rowOff>
    </xdr:from>
    <xdr:ext cx="2230217" cy="778093"/>
    <xdr:pic>
      <xdr:nvPicPr>
        <xdr:cNvPr id="2" name="Kase">
          <a:extLst>
            <a:ext uri="{FF2B5EF4-FFF2-40B4-BE49-F238E27FC236}">
              <a16:creationId xmlns:a16="http://schemas.microsoft.com/office/drawing/2014/main" id="{D5FCCD2D-D436-4DD6-9D7B-1F8F64FF3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-120000">
          <a:off x="132872" y="5842757"/>
          <a:ext cx="2230217" cy="778093"/>
        </a:xfrm>
        <a:prstGeom prst="rect">
          <a:avLst/>
        </a:prstGeom>
      </xdr:spPr>
    </xdr:pic>
    <xdr:clientData/>
  </xdr:oneCellAnchor>
  <xdr:oneCellAnchor>
    <xdr:from>
      <xdr:col>11</xdr:col>
      <xdr:colOff>30480</xdr:colOff>
      <xdr:row>1</xdr:row>
      <xdr:rowOff>22860</xdr:rowOff>
    </xdr:from>
    <xdr:ext cx="1595989" cy="702904"/>
    <xdr:pic>
      <xdr:nvPicPr>
        <xdr:cNvPr id="3" name="Resim 2">
          <a:extLst>
            <a:ext uri="{FF2B5EF4-FFF2-40B4-BE49-F238E27FC236}">
              <a16:creationId xmlns:a16="http://schemas.microsoft.com/office/drawing/2014/main" id="{22FD1D35-BFE7-47AF-9C94-E50CFC71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6820" y="83820"/>
          <a:ext cx="1595989" cy="702904"/>
        </a:xfrm>
        <a:prstGeom prst="rect">
          <a:avLst/>
        </a:prstGeom>
      </xdr:spPr>
    </xdr:pic>
    <xdr:clientData/>
  </xdr:oneCellAnchor>
  <xdr:oneCellAnchor>
    <xdr:from>
      <xdr:col>5</xdr:col>
      <xdr:colOff>33020</xdr:colOff>
      <xdr:row>32</xdr:row>
      <xdr:rowOff>24289</xdr:rowOff>
    </xdr:from>
    <xdr:ext cx="1191137" cy="156479"/>
    <xdr:sp macro="[0]!SatirEkle" textlink="">
      <xdr:nvSpPr>
        <xdr:cNvPr id="4" name="Dikdörtgen 3">
          <a:extLst>
            <a:ext uri="{FF2B5EF4-FFF2-40B4-BE49-F238E27FC236}">
              <a16:creationId xmlns:a16="http://schemas.microsoft.com/office/drawing/2014/main" id="{40BD4CC9-7F4C-47C6-8BBA-8D3691825F8E}"/>
            </a:ext>
          </a:extLst>
        </xdr:cNvPr>
        <xdr:cNvSpPr/>
      </xdr:nvSpPr>
      <xdr:spPr>
        <a:xfrm>
          <a:off x="2639060" y="5952649"/>
          <a:ext cx="1191137" cy="15647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Ürün Satırı Ekleme</a:t>
          </a:r>
          <a:endParaRPr lang="tr-TR" sz="1100"/>
        </a:p>
      </xdr:txBody>
    </xdr:sp>
    <xdr:clientData fPrintsWithSheet="0"/>
  </xdr:oneCellAnchor>
  <xdr:oneCellAnchor>
    <xdr:from>
      <xdr:col>7</xdr:col>
      <xdr:colOff>164147</xdr:colOff>
      <xdr:row>32</xdr:row>
      <xdr:rowOff>23654</xdr:rowOff>
    </xdr:from>
    <xdr:ext cx="1226281" cy="167274"/>
    <xdr:sp macro="[0]!SatirSil" textlink="">
      <xdr:nvSpPr>
        <xdr:cNvPr id="5" name="Dikdörtgen 4">
          <a:extLst>
            <a:ext uri="{FF2B5EF4-FFF2-40B4-BE49-F238E27FC236}">
              <a16:creationId xmlns:a16="http://schemas.microsoft.com/office/drawing/2014/main" id="{E85BB791-3327-4C45-AF45-08A954ED6665}"/>
            </a:ext>
          </a:extLst>
        </xdr:cNvPr>
        <xdr:cNvSpPr/>
      </xdr:nvSpPr>
      <xdr:spPr>
        <a:xfrm>
          <a:off x="3821747" y="5952014"/>
          <a:ext cx="1226281" cy="1672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Ürün Satırı Silme</a:t>
          </a:r>
        </a:p>
      </xdr:txBody>
    </xdr:sp>
    <xdr:clientData fPrintsWithSheet="0"/>
  </xdr:oneCellAnchor>
  <xdr:oneCellAnchor>
    <xdr:from>
      <xdr:col>5</xdr:col>
      <xdr:colOff>26987</xdr:colOff>
      <xdr:row>33</xdr:row>
      <xdr:rowOff>53498</xdr:rowOff>
    </xdr:from>
    <xdr:ext cx="1186057" cy="161560"/>
    <xdr:sp macro="[0]!KaseAcKapat" textlink="">
      <xdr:nvSpPr>
        <xdr:cNvPr id="6" name="Dikdörtgen 5">
          <a:extLst>
            <a:ext uri="{FF2B5EF4-FFF2-40B4-BE49-F238E27FC236}">
              <a16:creationId xmlns:a16="http://schemas.microsoft.com/office/drawing/2014/main" id="{C4BBE304-583F-411C-9C12-37A99C754520}"/>
            </a:ext>
          </a:extLst>
        </xdr:cNvPr>
        <xdr:cNvSpPr/>
      </xdr:nvSpPr>
      <xdr:spPr>
        <a:xfrm>
          <a:off x="2633027" y="6149498"/>
          <a:ext cx="1186057" cy="1615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Kaşe</a:t>
          </a:r>
          <a:r>
            <a:rPr lang="tr-T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Ekle / Çıkar</a:t>
          </a:r>
          <a:endParaRPr lang="tr-TR" sz="1100"/>
        </a:p>
      </xdr:txBody>
    </xdr:sp>
    <xdr:clientData fPrintsWithSheet="0"/>
  </xdr:oneCellAnchor>
  <xdr:oneCellAnchor>
    <xdr:from>
      <xdr:col>7</xdr:col>
      <xdr:colOff>164465</xdr:colOff>
      <xdr:row>33</xdr:row>
      <xdr:rowOff>44926</xdr:rowOff>
    </xdr:from>
    <xdr:ext cx="1226281" cy="169180"/>
    <xdr:sp macro="[0]!PDF_Kaydet" textlink="">
      <xdr:nvSpPr>
        <xdr:cNvPr id="7" name="Dikdörtgen 6">
          <a:extLst>
            <a:ext uri="{FF2B5EF4-FFF2-40B4-BE49-F238E27FC236}">
              <a16:creationId xmlns:a16="http://schemas.microsoft.com/office/drawing/2014/main" id="{A2FECE0A-AFAF-470F-A282-80D2FBA662D6}"/>
            </a:ext>
          </a:extLst>
        </xdr:cNvPr>
        <xdr:cNvSpPr/>
      </xdr:nvSpPr>
      <xdr:spPr>
        <a:xfrm>
          <a:off x="3822065" y="6140926"/>
          <a:ext cx="1226281" cy="169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PDF Kaydet</a:t>
          </a:r>
          <a:endParaRPr lang="tr-TR" sz="1100"/>
        </a:p>
      </xdr:txBody>
    </xdr:sp>
    <xdr:clientData fPrintsWithSheet="0"/>
  </xdr:oneCellAnchor>
  <xdr:oneCellAnchor>
    <xdr:from>
      <xdr:col>5</xdr:col>
      <xdr:colOff>20955</xdr:colOff>
      <xdr:row>34</xdr:row>
      <xdr:rowOff>96560</xdr:rowOff>
    </xdr:from>
    <xdr:ext cx="2593948" cy="254457"/>
    <xdr:sp macro="[0]!AdminKilit_Kontrol" textlink="">
      <xdr:nvSpPr>
        <xdr:cNvPr id="8" name="Dikdörtgen 7">
          <a:extLst>
            <a:ext uri="{FF2B5EF4-FFF2-40B4-BE49-F238E27FC236}">
              <a16:creationId xmlns:a16="http://schemas.microsoft.com/office/drawing/2014/main" id="{FB06A55C-21A6-4C1E-ACCD-D1D461B70549}"/>
            </a:ext>
          </a:extLst>
        </xdr:cNvPr>
        <xdr:cNvSpPr/>
      </xdr:nvSpPr>
      <xdr:spPr>
        <a:xfrm>
          <a:off x="2626995" y="6360200"/>
          <a:ext cx="2593948" cy="2544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Versiyon 2026.001.9</a:t>
          </a:r>
          <a:r>
            <a:rPr lang="tr-TR" sz="1100" baseline="0"/>
            <a:t> HK</a:t>
          </a:r>
          <a:endParaRPr lang="tr-TR" sz="1100"/>
        </a:p>
      </xdr:txBody>
    </xdr:sp>
    <xdr:clientData fPrint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lper.gundogdu@dachser.com&#160;%20/%20M.%20+90%20549%206630551" TargetMode="External"/><Relationship Id="rId2" Type="http://schemas.openxmlformats.org/officeDocument/2006/relationships/hyperlink" Target="mailto:yasemin.dagdelen@dachser.com%20/%20M.%20+90%20549%206630553" TargetMode="External"/><Relationship Id="rId1" Type="http://schemas.openxmlformats.org/officeDocument/2006/relationships/hyperlink" Target="mailto:ozlem.ozdemir@dachser.com%20/%20M.%20+90%20530%209157648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ergun.kavdir@hgl.com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1F22-077A-416B-956A-4CBED2E1ECDB}">
  <sheetPr codeName="Sayfa1"/>
  <dimension ref="B1:R39"/>
  <sheetViews>
    <sheetView showGridLines="0" zoomScaleNormal="100" workbookViewId="0">
      <selection activeCell="Q18" sqref="Q18"/>
    </sheetView>
  </sheetViews>
  <sheetFormatPr defaultColWidth="9.109375" defaultRowHeight="13.8" x14ac:dyDescent="0.3"/>
  <cols>
    <col min="1" max="1" width="2.6640625" style="3" customWidth="1"/>
    <col min="2" max="2" width="6.88671875" style="3" customWidth="1"/>
    <col min="3" max="3" width="25.88671875" style="3" customWidth="1"/>
    <col min="4" max="4" width="15.88671875" style="3" customWidth="1"/>
    <col min="5" max="5" width="4.88671875" style="3" customWidth="1"/>
    <col min="6" max="6" width="8.88671875" style="3" customWidth="1"/>
    <col min="7" max="9" width="11.88671875" style="3" customWidth="1"/>
    <col min="10" max="10" width="13" style="3" customWidth="1"/>
    <col min="11" max="16384" width="9.109375" style="3"/>
  </cols>
  <sheetData>
    <row r="1" spans="2:9" ht="20.399999999999999" x14ac:dyDescent="0.35">
      <c r="B1" s="216" t="s">
        <v>20</v>
      </c>
      <c r="C1" s="217"/>
      <c r="D1" s="217"/>
      <c r="E1" s="217"/>
      <c r="F1" s="217"/>
      <c r="G1" s="217"/>
      <c r="H1" s="217"/>
      <c r="I1" s="218"/>
    </row>
    <row r="2" spans="2:9" ht="15" thickBot="1" x14ac:dyDescent="0.35">
      <c r="B2" s="28" t="s">
        <v>17</v>
      </c>
      <c r="C2" s="29"/>
      <c r="D2" s="30"/>
      <c r="E2" s="30"/>
      <c r="F2" s="30"/>
      <c r="G2" s="30"/>
      <c r="H2" s="30"/>
      <c r="I2" s="31"/>
    </row>
    <row r="3" spans="2:9" ht="15" customHeight="1" thickBot="1" x14ac:dyDescent="0.35">
      <c r="B3" s="221" t="s">
        <v>23</v>
      </c>
      <c r="C3" s="219"/>
      <c r="D3" s="219"/>
      <c r="G3" s="32" t="s">
        <v>22</v>
      </c>
      <c r="H3" s="222">
        <v>46094</v>
      </c>
      <c r="I3" s="223"/>
    </row>
    <row r="4" spans="2:9" ht="15" customHeight="1" thickBot="1" x14ac:dyDescent="0.35">
      <c r="B4" s="221" t="s">
        <v>24</v>
      </c>
      <c r="C4" s="219"/>
      <c r="D4" s="219"/>
      <c r="G4" s="33"/>
      <c r="H4" s="2"/>
      <c r="I4" s="36"/>
    </row>
    <row r="5" spans="2:9" ht="15" customHeight="1" thickBot="1" x14ac:dyDescent="0.35">
      <c r="B5" s="221" t="s">
        <v>25</v>
      </c>
      <c r="C5" s="219"/>
      <c r="D5" s="219"/>
      <c r="G5" s="35" t="s">
        <v>21</v>
      </c>
      <c r="H5" s="224" t="s">
        <v>90</v>
      </c>
      <c r="I5" s="225"/>
    </row>
    <row r="6" spans="2:9" ht="15" customHeight="1" x14ac:dyDescent="0.3">
      <c r="B6" s="221" t="s">
        <v>34</v>
      </c>
      <c r="C6" s="219"/>
      <c r="D6" s="219"/>
      <c r="I6" s="36"/>
    </row>
    <row r="7" spans="2:9" ht="15" customHeight="1" x14ac:dyDescent="0.3">
      <c r="B7" s="230" t="s">
        <v>26</v>
      </c>
      <c r="C7" s="231"/>
      <c r="D7" s="231"/>
      <c r="E7" s="37"/>
      <c r="F7" s="37"/>
      <c r="G7" s="38"/>
      <c r="H7" s="39" t="s">
        <v>0</v>
      </c>
      <c r="I7" s="40"/>
    </row>
    <row r="8" spans="2:9" ht="15" customHeight="1" x14ac:dyDescent="0.3">
      <c r="B8" s="28" t="s">
        <v>18</v>
      </c>
      <c r="C8" s="29"/>
      <c r="D8" s="41"/>
      <c r="E8" s="42"/>
      <c r="F8" s="43" t="s">
        <v>19</v>
      </c>
      <c r="G8" s="30"/>
      <c r="H8" s="30"/>
      <c r="I8" s="44"/>
    </row>
    <row r="9" spans="2:9" ht="15" customHeight="1" x14ac:dyDescent="0.3">
      <c r="B9" s="226" t="s">
        <v>13</v>
      </c>
      <c r="C9" s="227"/>
      <c r="D9" s="227"/>
      <c r="E9" s="227"/>
      <c r="F9" s="219" t="s">
        <v>29</v>
      </c>
      <c r="G9" s="219"/>
      <c r="H9" s="219"/>
      <c r="I9" s="220"/>
    </row>
    <row r="10" spans="2:9" ht="15" customHeight="1" x14ac:dyDescent="0.3">
      <c r="B10" s="221" t="s">
        <v>27</v>
      </c>
      <c r="C10" s="219"/>
      <c r="D10" s="219"/>
      <c r="E10" s="219"/>
      <c r="F10" s="219" t="s">
        <v>42</v>
      </c>
      <c r="G10" s="219"/>
      <c r="H10" s="219"/>
      <c r="I10" s="220"/>
    </row>
    <row r="11" spans="2:9" ht="15" customHeight="1" x14ac:dyDescent="0.3">
      <c r="B11" s="232" t="s">
        <v>43</v>
      </c>
      <c r="C11" s="233"/>
      <c r="D11" s="233"/>
      <c r="E11" s="233"/>
      <c r="F11" s="219" t="s">
        <v>41</v>
      </c>
      <c r="G11" s="219"/>
      <c r="H11" s="219"/>
      <c r="I11" s="220"/>
    </row>
    <row r="12" spans="2:9" ht="15" customHeight="1" x14ac:dyDescent="0.3">
      <c r="B12" s="46" t="s">
        <v>39</v>
      </c>
      <c r="F12" s="219" t="s">
        <v>31</v>
      </c>
      <c r="G12" s="219"/>
      <c r="H12" s="219"/>
      <c r="I12" s="220"/>
    </row>
    <row r="13" spans="2:9" ht="15" customHeight="1" x14ac:dyDescent="0.3">
      <c r="B13" s="47" t="s">
        <v>33</v>
      </c>
      <c r="C13" s="38"/>
      <c r="D13" s="37"/>
      <c r="E13" s="37"/>
      <c r="F13" s="38" t="s">
        <v>32</v>
      </c>
      <c r="G13" s="38"/>
      <c r="H13" s="38"/>
      <c r="I13" s="48"/>
    </row>
    <row r="14" spans="2:9" ht="6" customHeight="1" x14ac:dyDescent="0.3">
      <c r="B14" s="54"/>
      <c r="C14" s="55"/>
      <c r="D14" s="55"/>
      <c r="E14" s="55"/>
      <c r="F14" s="55"/>
      <c r="G14" s="55"/>
      <c r="H14" s="55"/>
      <c r="I14" s="56"/>
    </row>
    <row r="15" spans="2:9" ht="20.100000000000001" customHeight="1" x14ac:dyDescent="0.3">
      <c r="B15" s="69" t="s">
        <v>10</v>
      </c>
      <c r="C15" s="69" t="s">
        <v>9</v>
      </c>
      <c r="D15" s="69" t="s">
        <v>8</v>
      </c>
      <c r="E15" s="69" t="s">
        <v>6</v>
      </c>
      <c r="F15" s="69" t="s">
        <v>7</v>
      </c>
      <c r="G15" s="69" t="s">
        <v>12</v>
      </c>
      <c r="H15" s="69" t="s">
        <v>4</v>
      </c>
      <c r="I15" s="69" t="s">
        <v>5</v>
      </c>
    </row>
    <row r="16" spans="2:9" ht="27.6" x14ac:dyDescent="0.3">
      <c r="B16" s="57">
        <v>1</v>
      </c>
      <c r="C16" s="11" t="s">
        <v>16</v>
      </c>
      <c r="D16" s="11" t="s">
        <v>15</v>
      </c>
      <c r="E16" s="11">
        <v>1</v>
      </c>
      <c r="F16" s="4">
        <v>1580181</v>
      </c>
      <c r="G16" s="5">
        <v>75.5</v>
      </c>
      <c r="H16" s="5">
        <v>15.2</v>
      </c>
      <c r="I16" s="58">
        <f t="shared" ref="I16:I24" si="0">(H16+0.5)</f>
        <v>15.7</v>
      </c>
    </row>
    <row r="17" spans="2:12" ht="27.6" x14ac:dyDescent="0.3">
      <c r="B17" s="59">
        <v>2</v>
      </c>
      <c r="C17" s="12" t="s">
        <v>16</v>
      </c>
      <c r="D17" s="11" t="s">
        <v>15</v>
      </c>
      <c r="E17" s="12">
        <v>1</v>
      </c>
      <c r="F17" s="6">
        <v>1580182</v>
      </c>
      <c r="G17" s="7">
        <v>90.96</v>
      </c>
      <c r="H17" s="7">
        <v>16.100000000000001</v>
      </c>
      <c r="I17" s="60">
        <f t="shared" si="0"/>
        <v>16.600000000000001</v>
      </c>
    </row>
    <row r="18" spans="2:12" ht="27.6" x14ac:dyDescent="0.3">
      <c r="B18" s="59">
        <v>3</v>
      </c>
      <c r="C18" s="12" t="s">
        <v>16</v>
      </c>
      <c r="D18" s="11" t="s">
        <v>15</v>
      </c>
      <c r="E18" s="12">
        <v>1</v>
      </c>
      <c r="F18" s="6">
        <v>1580183</v>
      </c>
      <c r="G18" s="7">
        <v>80</v>
      </c>
      <c r="H18" s="7">
        <v>14.2</v>
      </c>
      <c r="I18" s="60">
        <f t="shared" si="0"/>
        <v>14.7</v>
      </c>
    </row>
    <row r="19" spans="2:12" ht="27.6" x14ac:dyDescent="0.3">
      <c r="B19" s="59">
        <v>4</v>
      </c>
      <c r="C19" s="12" t="s">
        <v>16</v>
      </c>
      <c r="D19" s="11" t="s">
        <v>15</v>
      </c>
      <c r="E19" s="12">
        <v>1</v>
      </c>
      <c r="F19" s="6">
        <v>1580190</v>
      </c>
      <c r="G19" s="7">
        <v>82.85</v>
      </c>
      <c r="H19" s="7">
        <v>14.85</v>
      </c>
      <c r="I19" s="60">
        <f t="shared" si="0"/>
        <v>15.35</v>
      </c>
    </row>
    <row r="20" spans="2:12" ht="27.6" x14ac:dyDescent="0.3">
      <c r="B20" s="59">
        <v>5</v>
      </c>
      <c r="C20" s="12" t="s">
        <v>16</v>
      </c>
      <c r="D20" s="11" t="s">
        <v>15</v>
      </c>
      <c r="E20" s="12">
        <v>1</v>
      </c>
      <c r="F20" s="6">
        <v>1580198</v>
      </c>
      <c r="G20" s="7">
        <v>82.42</v>
      </c>
      <c r="H20" s="7">
        <v>15.05</v>
      </c>
      <c r="I20" s="60">
        <f t="shared" si="0"/>
        <v>15.55</v>
      </c>
    </row>
    <row r="21" spans="2:12" ht="27.6" x14ac:dyDescent="0.3">
      <c r="B21" s="59">
        <v>6</v>
      </c>
      <c r="C21" s="12" t="s">
        <v>16</v>
      </c>
      <c r="D21" s="11" t="s">
        <v>15</v>
      </c>
      <c r="E21" s="12">
        <v>1</v>
      </c>
      <c r="F21" s="6">
        <v>1580201</v>
      </c>
      <c r="G21" s="7">
        <v>117.5</v>
      </c>
      <c r="H21" s="7">
        <v>18.95</v>
      </c>
      <c r="I21" s="60">
        <f t="shared" si="0"/>
        <v>19.45</v>
      </c>
    </row>
    <row r="22" spans="2:12" ht="27.6" x14ac:dyDescent="0.3">
      <c r="B22" s="59">
        <v>7</v>
      </c>
      <c r="C22" s="12" t="s">
        <v>16</v>
      </c>
      <c r="D22" s="11" t="s">
        <v>15</v>
      </c>
      <c r="E22" s="12">
        <v>1</v>
      </c>
      <c r="F22" s="6">
        <v>1580204</v>
      </c>
      <c r="G22" s="7">
        <v>77</v>
      </c>
      <c r="H22" s="7">
        <v>13.8</v>
      </c>
      <c r="I22" s="60">
        <f t="shared" si="0"/>
        <v>14.3</v>
      </c>
    </row>
    <row r="23" spans="2:12" ht="27.6" x14ac:dyDescent="0.3">
      <c r="B23" s="59">
        <v>8</v>
      </c>
      <c r="C23" s="12" t="s">
        <v>16</v>
      </c>
      <c r="D23" s="11" t="s">
        <v>15</v>
      </c>
      <c r="E23" s="12">
        <v>1</v>
      </c>
      <c r="F23" s="6">
        <v>1580205</v>
      </c>
      <c r="G23" s="7">
        <v>94.79</v>
      </c>
      <c r="H23" s="7">
        <v>15.9</v>
      </c>
      <c r="I23" s="60">
        <f t="shared" si="0"/>
        <v>16.399999999999999</v>
      </c>
    </row>
    <row r="24" spans="2:12" ht="27.6" x14ac:dyDescent="0.3">
      <c r="B24" s="59">
        <v>9</v>
      </c>
      <c r="C24" s="12" t="s">
        <v>16</v>
      </c>
      <c r="D24" s="11" t="s">
        <v>15</v>
      </c>
      <c r="E24" s="12">
        <v>1</v>
      </c>
      <c r="F24" s="6">
        <v>1580207</v>
      </c>
      <c r="G24" s="7">
        <v>47.53</v>
      </c>
      <c r="H24" s="7">
        <v>8.8000000000000007</v>
      </c>
      <c r="I24" s="60">
        <f t="shared" si="0"/>
        <v>9.3000000000000007</v>
      </c>
    </row>
    <row r="25" spans="2:12" ht="27.6" x14ac:dyDescent="0.3">
      <c r="B25" s="61">
        <v>10</v>
      </c>
      <c r="C25" s="13" t="s">
        <v>16</v>
      </c>
      <c r="D25" s="11" t="s">
        <v>15</v>
      </c>
      <c r="E25" s="13">
        <v>1</v>
      </c>
      <c r="F25" s="8">
        <v>1580278</v>
      </c>
      <c r="G25" s="9">
        <v>40</v>
      </c>
      <c r="H25" s="9">
        <v>8</v>
      </c>
      <c r="I25" s="62">
        <f>(H25+0.5)</f>
        <v>8.5</v>
      </c>
    </row>
    <row r="26" spans="2:12" ht="14.4" x14ac:dyDescent="0.3">
      <c r="B26" s="63"/>
      <c r="C26" s="64"/>
      <c r="D26" s="65"/>
      <c r="E26" s="65"/>
      <c r="F26" s="66"/>
      <c r="G26" s="67">
        <f>SUM(G16:G25)</f>
        <v>788.55</v>
      </c>
      <c r="H26" s="68">
        <f>SUM(H16:H25)</f>
        <v>140.85000000000002</v>
      </c>
      <c r="I26" s="68">
        <f>SUM(I16:I25)</f>
        <v>145.85000000000002</v>
      </c>
    </row>
    <row r="27" spans="2:12" ht="6" customHeight="1" x14ac:dyDescent="0.3">
      <c r="B27" s="54"/>
      <c r="C27" s="55"/>
      <c r="D27" s="55"/>
      <c r="E27" s="55"/>
      <c r="F27" s="55"/>
      <c r="G27" s="55"/>
      <c r="H27" s="55"/>
      <c r="I27" s="56"/>
    </row>
    <row r="28" spans="2:12" ht="14.4" x14ac:dyDescent="0.3">
      <c r="B28" s="235" t="s">
        <v>77</v>
      </c>
      <c r="C28" s="236"/>
      <c r="D28" s="236"/>
      <c r="E28" s="236"/>
      <c r="F28" s="237"/>
      <c r="G28" s="229" t="s">
        <v>11</v>
      </c>
      <c r="H28" s="229"/>
      <c r="I28" s="14">
        <f>G26</f>
        <v>788.55</v>
      </c>
      <c r="J28" s="1"/>
      <c r="K28" s="15"/>
      <c r="L28" s="15"/>
    </row>
    <row r="29" spans="2:12" ht="14.4" x14ac:dyDescent="0.3">
      <c r="G29" s="229" t="s">
        <v>1</v>
      </c>
      <c r="H29" s="229"/>
      <c r="I29" s="14">
        <f>H26</f>
        <v>140.85000000000002</v>
      </c>
      <c r="J29" s="1"/>
      <c r="K29" s="15"/>
      <c r="L29" s="15"/>
    </row>
    <row r="30" spans="2:12" ht="14.4" x14ac:dyDescent="0.3">
      <c r="G30" s="229" t="s">
        <v>2</v>
      </c>
      <c r="H30" s="229"/>
      <c r="I30" s="14">
        <f>I26</f>
        <v>145.85000000000002</v>
      </c>
      <c r="J30" s="1"/>
      <c r="K30" s="15"/>
      <c r="L30" s="15"/>
    </row>
    <row r="31" spans="2:12" ht="14.4" x14ac:dyDescent="0.3">
      <c r="G31" s="229" t="s">
        <v>3</v>
      </c>
      <c r="H31" s="229"/>
      <c r="I31" s="10">
        <v>10</v>
      </c>
      <c r="J31" s="1"/>
    </row>
    <row r="32" spans="2:12" x14ac:dyDescent="0.3">
      <c r="D32" s="1"/>
      <c r="E32" s="1"/>
      <c r="F32" s="1"/>
      <c r="G32" s="1"/>
    </row>
    <row r="33" spans="3:18" x14ac:dyDescent="0.3">
      <c r="D33" s="1"/>
      <c r="E33" s="1"/>
      <c r="F33" s="1"/>
      <c r="G33" s="1"/>
    </row>
    <row r="34" spans="3:18" x14ac:dyDescent="0.3">
      <c r="D34" s="1"/>
      <c r="E34" s="1"/>
      <c r="F34" s="1"/>
      <c r="G34" s="1"/>
    </row>
    <row r="35" spans="3:18" x14ac:dyDescent="0.3">
      <c r="D35" s="1"/>
      <c r="E35" s="1"/>
      <c r="F35" s="1"/>
      <c r="G35" s="1"/>
    </row>
    <row r="37" spans="3:18" x14ac:dyDescent="0.3">
      <c r="C37" s="234"/>
      <c r="D37" s="234"/>
      <c r="E37" s="234"/>
      <c r="F37" s="234"/>
      <c r="G37" s="234"/>
      <c r="H37" s="234"/>
      <c r="I37" s="234"/>
      <c r="J37" s="2"/>
      <c r="K37" s="2"/>
      <c r="L37" s="2"/>
      <c r="M37" s="2"/>
      <c r="N37" s="2"/>
      <c r="O37" s="2"/>
      <c r="P37" s="2"/>
      <c r="Q37" s="2"/>
      <c r="R37" s="2"/>
    </row>
    <row r="38" spans="3:18" x14ac:dyDescent="0.3">
      <c r="C38" s="228"/>
      <c r="D38" s="228"/>
      <c r="E38" s="228"/>
      <c r="F38" s="228"/>
      <c r="G38" s="228"/>
      <c r="H38" s="228"/>
      <c r="I38" s="228"/>
    </row>
    <row r="39" spans="3:18" x14ac:dyDescent="0.3">
      <c r="C39" s="228"/>
      <c r="D39" s="228"/>
      <c r="E39" s="228"/>
      <c r="F39" s="228"/>
      <c r="G39" s="228"/>
      <c r="H39" s="228"/>
      <c r="I39" s="228"/>
    </row>
  </sheetData>
  <mergeCells count="23">
    <mergeCell ref="C38:I38"/>
    <mergeCell ref="B5:D5"/>
    <mergeCell ref="G30:H30"/>
    <mergeCell ref="C39:I39"/>
    <mergeCell ref="G31:H31"/>
    <mergeCell ref="G28:H28"/>
    <mergeCell ref="G29:H29"/>
    <mergeCell ref="B7:D7"/>
    <mergeCell ref="B11:E11"/>
    <mergeCell ref="C37:I37"/>
    <mergeCell ref="F12:I12"/>
    <mergeCell ref="B28:F28"/>
    <mergeCell ref="B1:I1"/>
    <mergeCell ref="F9:I9"/>
    <mergeCell ref="F10:I10"/>
    <mergeCell ref="F11:I11"/>
    <mergeCell ref="B3:D3"/>
    <mergeCell ref="B10:E10"/>
    <mergeCell ref="H3:I3"/>
    <mergeCell ref="H5:I5"/>
    <mergeCell ref="B6:D6"/>
    <mergeCell ref="B4:D4"/>
    <mergeCell ref="B9:E9"/>
  </mergeCells>
  <phoneticPr fontId="6" type="noConversion"/>
  <pageMargins left="0.23622047244094491" right="0.23622047244094491" top="1.3385826771653544" bottom="0.74803149606299213" header="0.31496062992125984" footer="0.31496062992125984"/>
  <pageSetup paperSize="9" orientation="portrait" horizontalDpi="360" verticalDpi="360" r:id="rId1"/>
  <headerFooter>
    <oddHeader>&amp;C&amp;G</oddHeader>
    <oddFooter>&amp;C&amp;"Arial,Kalın"&amp;9U.SK. TEKSTIL SANAYI VE TICARET LIMITED SIRKET&amp;"Arial,Normal"
DEMIRTAS DUMLUPINAR OSB, MUSTAFA KARAER CD., NO.49/2, OSMANGAZI, BURSA, TURKIYE
PHONE. +90 224 2612100 / E-MAIL. info@usktekstil.com.tr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6B12-17DE-4457-899A-E9303A2659A3}">
  <dimension ref="B1:O32"/>
  <sheetViews>
    <sheetView tabSelected="1" zoomScale="130" zoomScaleNormal="130" zoomScaleSheetLayoutView="120" workbookViewId="0">
      <selection activeCell="L28" sqref="L28:O28"/>
    </sheetView>
  </sheetViews>
  <sheetFormatPr defaultColWidth="8.88671875" defaultRowHeight="13.2" x14ac:dyDescent="0.3"/>
  <cols>
    <col min="1" max="1" width="0.33203125" style="70" customWidth="1"/>
    <col min="2" max="2" width="12.6640625" style="70" customWidth="1"/>
    <col min="3" max="3" width="4.6640625" style="70" customWidth="1"/>
    <col min="4" max="4" width="9.6640625" style="71" customWidth="1"/>
    <col min="5" max="5" width="10.6640625" style="72" customWidth="1"/>
    <col min="6" max="6" width="8.6640625" style="70" customWidth="1"/>
    <col min="7" max="7" width="6.6640625" style="70" customWidth="1"/>
    <col min="8" max="8" width="4.6640625" style="70" customWidth="1"/>
    <col min="9" max="9" width="5.6640625" style="71" customWidth="1"/>
    <col min="10" max="10" width="3.6640625" style="70" customWidth="1"/>
    <col min="11" max="11" width="5.6640625" style="70" customWidth="1"/>
    <col min="12" max="13" width="4.6640625" style="70" customWidth="1"/>
    <col min="14" max="14" width="11.6640625" style="70" customWidth="1"/>
    <col min="15" max="15" width="3.6640625" style="70" customWidth="1"/>
    <col min="16" max="16" width="1.6640625" style="70" customWidth="1"/>
    <col min="17" max="16384" width="8.88671875" style="70"/>
  </cols>
  <sheetData>
    <row r="1" spans="2:15" ht="4.95" customHeight="1" x14ac:dyDescent="0.3"/>
    <row r="2" spans="2:15" ht="14.4" customHeight="1" x14ac:dyDescent="0.3">
      <c r="B2" s="125" t="s">
        <v>136</v>
      </c>
      <c r="C2" s="122"/>
      <c r="D2" s="121"/>
      <c r="E2" s="124"/>
      <c r="F2" s="153" t="s">
        <v>135</v>
      </c>
      <c r="G2" s="154"/>
      <c r="H2" s="154"/>
      <c r="I2" s="154"/>
      <c r="J2" s="154"/>
      <c r="K2" s="154"/>
      <c r="L2" s="159"/>
      <c r="M2" s="160"/>
      <c r="N2" s="160"/>
      <c r="O2" s="161"/>
    </row>
    <row r="3" spans="2:15" ht="14.4" customHeight="1" x14ac:dyDescent="0.3">
      <c r="B3" s="164" t="s">
        <v>134</v>
      </c>
      <c r="C3" s="165"/>
      <c r="D3" s="165"/>
      <c r="E3" s="165"/>
      <c r="F3" s="155"/>
      <c r="G3" s="156"/>
      <c r="H3" s="156"/>
      <c r="I3" s="156"/>
      <c r="J3" s="156"/>
      <c r="K3" s="156"/>
      <c r="L3" s="119"/>
      <c r="O3" s="118"/>
    </row>
    <row r="4" spans="2:15" ht="14.4" customHeight="1" x14ac:dyDescent="0.3">
      <c r="B4" s="146" t="s">
        <v>133</v>
      </c>
      <c r="C4" s="147"/>
      <c r="D4" s="147"/>
      <c r="E4" s="147"/>
      <c r="F4" s="155"/>
      <c r="G4" s="156"/>
      <c r="H4" s="156"/>
      <c r="I4" s="156"/>
      <c r="J4" s="156"/>
      <c r="K4" s="156"/>
      <c r="L4" s="119"/>
      <c r="O4" s="118"/>
    </row>
    <row r="5" spans="2:15" ht="14.4" customHeight="1" x14ac:dyDescent="0.3">
      <c r="B5" s="146" t="s">
        <v>132</v>
      </c>
      <c r="C5" s="147"/>
      <c r="D5" s="147"/>
      <c r="E5" s="147"/>
      <c r="F5" s="155"/>
      <c r="G5" s="156"/>
      <c r="H5" s="156"/>
      <c r="I5" s="156"/>
      <c r="J5" s="156"/>
      <c r="K5" s="156"/>
      <c r="L5" s="119"/>
      <c r="O5" s="118"/>
    </row>
    <row r="6" spans="2:15" ht="14.4" customHeight="1" x14ac:dyDescent="0.3">
      <c r="B6" s="146" t="s">
        <v>131</v>
      </c>
      <c r="C6" s="147"/>
      <c r="D6" s="147" t="s">
        <v>130</v>
      </c>
      <c r="E6" s="148"/>
      <c r="F6" s="155"/>
      <c r="G6" s="156"/>
      <c r="H6" s="156"/>
      <c r="I6" s="156"/>
      <c r="J6" s="156"/>
      <c r="K6" s="156"/>
      <c r="L6" s="119"/>
      <c r="O6" s="118"/>
    </row>
    <row r="7" spans="2:15" ht="14.4" customHeight="1" x14ac:dyDescent="0.3">
      <c r="B7" s="146" t="s">
        <v>129</v>
      </c>
      <c r="C7" s="147"/>
      <c r="D7" s="147"/>
      <c r="E7" s="147"/>
      <c r="F7" s="155"/>
      <c r="G7" s="156"/>
      <c r="H7" s="156"/>
      <c r="I7" s="156"/>
      <c r="J7" s="156"/>
      <c r="K7" s="156"/>
      <c r="L7" s="135" t="s">
        <v>21</v>
      </c>
      <c r="M7" s="136"/>
      <c r="N7" s="136"/>
      <c r="O7" s="137"/>
    </row>
    <row r="8" spans="2:15" ht="14.4" customHeight="1" x14ac:dyDescent="0.3">
      <c r="B8" s="166" t="s">
        <v>128</v>
      </c>
      <c r="C8" s="167"/>
      <c r="D8" s="167"/>
      <c r="E8" s="167"/>
      <c r="F8" s="157"/>
      <c r="G8" s="158"/>
      <c r="H8" s="158"/>
      <c r="I8" s="158"/>
      <c r="J8" s="158"/>
      <c r="K8" s="158"/>
      <c r="L8" s="138" t="s">
        <v>90</v>
      </c>
      <c r="M8" s="139"/>
      <c r="N8" s="139"/>
      <c r="O8" s="140"/>
    </row>
    <row r="9" spans="2:15" ht="14.4" customHeight="1" x14ac:dyDescent="0.3">
      <c r="B9" s="123" t="s">
        <v>127</v>
      </c>
      <c r="C9" s="122"/>
      <c r="D9" s="121"/>
      <c r="E9" s="120"/>
      <c r="F9" s="162" t="s">
        <v>126</v>
      </c>
      <c r="G9" s="163"/>
      <c r="H9" s="163"/>
      <c r="I9" s="163"/>
      <c r="J9" s="163"/>
      <c r="K9" s="163"/>
      <c r="L9" s="119"/>
      <c r="O9" s="118"/>
    </row>
    <row r="10" spans="2:15" ht="14.4" customHeight="1" x14ac:dyDescent="0.3">
      <c r="B10" s="149" t="s">
        <v>125</v>
      </c>
      <c r="C10" s="150"/>
      <c r="D10" s="150"/>
      <c r="E10" s="151"/>
      <c r="F10" s="149" t="s">
        <v>29</v>
      </c>
      <c r="G10" s="150"/>
      <c r="H10" s="150"/>
      <c r="I10" s="150"/>
      <c r="J10" s="150"/>
      <c r="K10" s="150"/>
      <c r="L10" s="135" t="s">
        <v>124</v>
      </c>
      <c r="M10" s="136"/>
      <c r="N10" s="136"/>
      <c r="O10" s="137"/>
    </row>
    <row r="11" spans="2:15" ht="14.4" customHeight="1" x14ac:dyDescent="0.3">
      <c r="B11" s="143" t="s">
        <v>123</v>
      </c>
      <c r="C11" s="144"/>
      <c r="D11" s="144"/>
      <c r="E11" s="145"/>
      <c r="F11" s="143" t="s">
        <v>38</v>
      </c>
      <c r="G11" s="144"/>
      <c r="H11" s="144"/>
      <c r="I11" s="144"/>
      <c r="J11" s="144"/>
      <c r="K11" s="144"/>
      <c r="L11" s="126">
        <v>46094</v>
      </c>
      <c r="M11" s="127"/>
      <c r="N11" s="127"/>
      <c r="O11" s="128"/>
    </row>
    <row r="12" spans="2:15" ht="14.4" customHeight="1" x14ac:dyDescent="0.3">
      <c r="B12" s="143" t="s">
        <v>28</v>
      </c>
      <c r="C12" s="144"/>
      <c r="D12" s="144"/>
      <c r="E12" s="145"/>
      <c r="F12" s="143" t="s">
        <v>40</v>
      </c>
      <c r="G12" s="144"/>
      <c r="H12" s="144"/>
      <c r="I12" s="144"/>
      <c r="J12" s="144"/>
      <c r="K12" s="144"/>
      <c r="L12" s="119"/>
      <c r="O12" s="118"/>
    </row>
    <row r="13" spans="2:15" ht="14.4" customHeight="1" x14ac:dyDescent="0.3">
      <c r="B13" s="143" t="s">
        <v>14</v>
      </c>
      <c r="C13" s="144"/>
      <c r="D13" s="144"/>
      <c r="E13" s="145"/>
      <c r="F13" s="143" t="s">
        <v>30</v>
      </c>
      <c r="G13" s="144"/>
      <c r="H13" s="144"/>
      <c r="I13" s="144"/>
      <c r="J13" s="144"/>
      <c r="K13" s="144"/>
      <c r="L13" s="135" t="s">
        <v>122</v>
      </c>
      <c r="M13" s="136"/>
      <c r="N13" s="136"/>
      <c r="O13" s="137"/>
    </row>
    <row r="14" spans="2:15" ht="14.4" customHeight="1" x14ac:dyDescent="0.3">
      <c r="B14" s="143" t="s">
        <v>39</v>
      </c>
      <c r="C14" s="144"/>
      <c r="D14" s="144"/>
      <c r="E14" s="145"/>
      <c r="F14" s="143" t="s">
        <v>31</v>
      </c>
      <c r="G14" s="144"/>
      <c r="H14" s="144"/>
      <c r="I14" s="144"/>
      <c r="J14" s="144"/>
      <c r="K14" s="144"/>
      <c r="L14" s="138" t="s">
        <v>121</v>
      </c>
      <c r="M14" s="139"/>
      <c r="N14" s="139"/>
      <c r="O14" s="140"/>
    </row>
    <row r="15" spans="2:15" ht="14.4" customHeight="1" x14ac:dyDescent="0.3">
      <c r="B15" s="133" t="s">
        <v>120</v>
      </c>
      <c r="C15" s="134"/>
      <c r="D15" s="134"/>
      <c r="E15" s="142"/>
      <c r="F15" s="133" t="s">
        <v>119</v>
      </c>
      <c r="G15" s="134"/>
      <c r="H15" s="134"/>
      <c r="I15" s="134"/>
      <c r="J15" s="134"/>
      <c r="K15" s="134"/>
      <c r="L15" s="117"/>
      <c r="M15" s="116"/>
      <c r="N15" s="116"/>
      <c r="O15" s="115"/>
    </row>
    <row r="16" spans="2:15" ht="4.95" customHeight="1" x14ac:dyDescent="0.3">
      <c r="B16" s="114"/>
      <c r="C16" s="111"/>
      <c r="D16" s="112"/>
      <c r="E16" s="113"/>
      <c r="F16" s="111"/>
      <c r="G16" s="111"/>
      <c r="H16" s="111"/>
      <c r="I16" s="112"/>
      <c r="J16" s="111"/>
      <c r="K16" s="111"/>
      <c r="L16" s="111"/>
      <c r="M16" s="111"/>
      <c r="N16" s="111"/>
      <c r="O16" s="110"/>
    </row>
    <row r="17" spans="2:15" s="105" customFormat="1" ht="30" customHeight="1" x14ac:dyDescent="0.25">
      <c r="B17" s="109" t="s">
        <v>118</v>
      </c>
      <c r="C17" s="171" t="s">
        <v>117</v>
      </c>
      <c r="D17" s="171"/>
      <c r="E17" s="108" t="s">
        <v>116</v>
      </c>
      <c r="F17" s="106" t="s">
        <v>115</v>
      </c>
      <c r="G17" s="141" t="s">
        <v>114</v>
      </c>
      <c r="H17" s="141"/>
      <c r="I17" s="106" t="s">
        <v>113</v>
      </c>
      <c r="J17" s="107" t="s">
        <v>67</v>
      </c>
      <c r="K17" s="141" t="s">
        <v>112</v>
      </c>
      <c r="L17" s="141"/>
      <c r="M17" s="107" t="s">
        <v>111</v>
      </c>
      <c r="N17" s="141" t="s">
        <v>110</v>
      </c>
      <c r="O17" s="196"/>
    </row>
    <row r="18" spans="2:15" ht="4.95" customHeight="1" x14ac:dyDescent="0.3">
      <c r="B18" s="104"/>
      <c r="C18" s="130"/>
      <c r="D18" s="130"/>
      <c r="E18" s="103"/>
      <c r="F18" s="103"/>
      <c r="G18" s="129"/>
      <c r="H18" s="129"/>
      <c r="I18" s="129"/>
      <c r="J18" s="129"/>
      <c r="K18" s="102"/>
      <c r="L18" s="102"/>
      <c r="N18" s="131"/>
      <c r="O18" s="132"/>
    </row>
    <row r="19" spans="2:15" ht="26.4" x14ac:dyDescent="0.3">
      <c r="B19" s="101" t="s">
        <v>109</v>
      </c>
      <c r="C19" s="174" t="s">
        <v>108</v>
      </c>
      <c r="D19" s="174"/>
      <c r="E19" s="100" t="s">
        <v>107</v>
      </c>
      <c r="F19" s="100" t="s">
        <v>106</v>
      </c>
      <c r="G19" s="179" t="s">
        <v>105</v>
      </c>
      <c r="H19" s="174"/>
      <c r="I19" s="99">
        <v>2.35</v>
      </c>
      <c r="J19" s="98" t="str">
        <f>$J$17</f>
        <v>USD</v>
      </c>
      <c r="K19" s="197">
        <v>788.55</v>
      </c>
      <c r="L19" s="197"/>
      <c r="M19" s="98" t="str">
        <f>$M$17</f>
        <v>MTR</v>
      </c>
      <c r="N19" s="97">
        <f>K19*I19</f>
        <v>1853.0925</v>
      </c>
      <c r="O19" s="96" t="str">
        <f>$J$17</f>
        <v>USD</v>
      </c>
    </row>
    <row r="20" spans="2:15" ht="28.95" customHeight="1" x14ac:dyDescent="0.3">
      <c r="B20" s="95"/>
      <c r="C20" s="168"/>
      <c r="D20" s="168"/>
      <c r="E20" s="94"/>
      <c r="F20" s="94"/>
      <c r="G20" s="169"/>
      <c r="H20" s="168"/>
      <c r="I20" s="93"/>
      <c r="J20" s="92" t="str">
        <f>$J$17</f>
        <v>USD</v>
      </c>
      <c r="K20" s="170"/>
      <c r="L20" s="170"/>
      <c r="M20" s="92" t="str">
        <f>$M$17</f>
        <v>MTR</v>
      </c>
      <c r="N20" s="91">
        <f>K20*I20</f>
        <v>0</v>
      </c>
      <c r="O20" s="90" t="str">
        <f>$J$17</f>
        <v>USD</v>
      </c>
    </row>
    <row r="21" spans="2:15" s="85" customFormat="1" ht="14.4" customHeight="1" x14ac:dyDescent="0.3">
      <c r="B21" s="175" t="s">
        <v>104</v>
      </c>
      <c r="C21" s="176"/>
      <c r="D21" s="176"/>
      <c r="E21" s="176"/>
      <c r="F21" s="176"/>
      <c r="G21" s="200" t="s">
        <v>103</v>
      </c>
      <c r="H21" s="200"/>
      <c r="I21" s="200"/>
      <c r="J21" s="201"/>
      <c r="K21" s="177">
        <f>SUM(K19:K20)</f>
        <v>788.55</v>
      </c>
      <c r="L21" s="178"/>
      <c r="M21" s="89" t="str">
        <f>$M$17</f>
        <v>MTR</v>
      </c>
      <c r="N21" s="88">
        <f>SUM(N19:N20)</f>
        <v>1853.0925</v>
      </c>
      <c r="O21" s="87" t="str">
        <f>$J$17</f>
        <v>USD</v>
      </c>
    </row>
    <row r="22" spans="2:15" s="85" customFormat="1" ht="28.95" customHeight="1" x14ac:dyDescent="0.3">
      <c r="B22" s="86" t="s">
        <v>102</v>
      </c>
      <c r="C22" s="192" t="s">
        <v>101</v>
      </c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3"/>
    </row>
    <row r="23" spans="2:15" ht="4.95" customHeight="1" x14ac:dyDescent="0.3">
      <c r="B23" s="82"/>
      <c r="C23" s="82"/>
      <c r="D23" s="83"/>
      <c r="E23" s="84"/>
      <c r="F23" s="82"/>
      <c r="G23" s="82"/>
      <c r="H23" s="82"/>
      <c r="I23" s="83"/>
      <c r="J23" s="82"/>
      <c r="K23" s="82"/>
      <c r="L23" s="82"/>
      <c r="M23" s="82"/>
      <c r="N23" s="82"/>
      <c r="O23" s="82"/>
    </row>
    <row r="24" spans="2:15" ht="14.4" customHeight="1" x14ac:dyDescent="0.3">
      <c r="B24" s="172" t="s">
        <v>58</v>
      </c>
      <c r="C24" s="173"/>
      <c r="D24" s="152" t="s">
        <v>59</v>
      </c>
      <c r="E24" s="152"/>
      <c r="F24" s="152"/>
      <c r="G24" s="152"/>
      <c r="H24" s="152"/>
      <c r="I24" s="189" t="s">
        <v>100</v>
      </c>
      <c r="J24" s="190"/>
      <c r="K24" s="191"/>
      <c r="L24" s="186" t="str">
        <f>VLOOKUP(J17, Data!A:G, 2, 0)</f>
        <v>T. GARANTI BANKASI A.S.</v>
      </c>
      <c r="M24" s="187"/>
      <c r="N24" s="187"/>
      <c r="O24" s="188"/>
    </row>
    <row r="25" spans="2:15" ht="14.4" customHeight="1" x14ac:dyDescent="0.3">
      <c r="B25" s="172" t="s">
        <v>60</v>
      </c>
      <c r="C25" s="173"/>
      <c r="D25" s="152" t="s">
        <v>61</v>
      </c>
      <c r="E25" s="152"/>
      <c r="F25" s="152"/>
      <c r="G25" s="152"/>
      <c r="H25" s="152"/>
      <c r="I25" s="180" t="s">
        <v>99</v>
      </c>
      <c r="J25" s="181"/>
      <c r="K25" s="181"/>
      <c r="L25" s="183" t="str">
        <f>VLOOKUP(J17, Data!A:G, 3, 0)</f>
        <v>BURSA TICARI BRANCH - 1667</v>
      </c>
      <c r="M25" s="184"/>
      <c r="N25" s="184"/>
      <c r="O25" s="185"/>
    </row>
    <row r="26" spans="2:15" ht="14.4" customHeight="1" x14ac:dyDescent="0.3">
      <c r="B26" s="172" t="s">
        <v>98</v>
      </c>
      <c r="C26" s="173"/>
      <c r="D26" s="152" t="s">
        <v>97</v>
      </c>
      <c r="E26" s="152"/>
      <c r="F26" s="152"/>
      <c r="G26" s="152"/>
      <c r="H26" s="152"/>
      <c r="I26" s="180" t="s">
        <v>96</v>
      </c>
      <c r="J26" s="181"/>
      <c r="K26" s="182"/>
      <c r="L26" s="183">
        <f>VLOOKUP(J17, Data!A:G, 5, 0)</f>
        <v>9001820</v>
      </c>
      <c r="M26" s="184"/>
      <c r="N26" s="184"/>
      <c r="O26" s="81" t="str">
        <f>VLOOKUP(J17, Data!A:G, 6, 0)</f>
        <v>USD</v>
      </c>
    </row>
    <row r="27" spans="2:15" ht="14.4" customHeight="1" x14ac:dyDescent="0.3">
      <c r="B27" s="172" t="s">
        <v>68</v>
      </c>
      <c r="C27" s="173"/>
      <c r="D27" s="80">
        <v>145.85</v>
      </c>
      <c r="E27" s="198" t="s">
        <v>69</v>
      </c>
      <c r="F27" s="199"/>
      <c r="G27" s="194">
        <v>10</v>
      </c>
      <c r="H27" s="195"/>
      <c r="I27" s="180" t="s">
        <v>95</v>
      </c>
      <c r="J27" s="181"/>
      <c r="K27" s="182"/>
      <c r="L27" s="183" t="str">
        <f>VLOOKUP(J17, Data!A:G, 4, 0)</f>
        <v>TGBATRISXXX</v>
      </c>
      <c r="M27" s="184"/>
      <c r="N27" s="184"/>
      <c r="O27" s="185"/>
    </row>
    <row r="28" spans="2:15" ht="14.4" customHeight="1" x14ac:dyDescent="0.3">
      <c r="B28" s="172" t="s">
        <v>70</v>
      </c>
      <c r="C28" s="173"/>
      <c r="D28" s="80">
        <v>140.85</v>
      </c>
      <c r="E28" s="198" t="s">
        <v>71</v>
      </c>
      <c r="F28" s="199"/>
      <c r="G28" s="194"/>
      <c r="H28" s="195"/>
      <c r="I28" s="213" t="s">
        <v>94</v>
      </c>
      <c r="J28" s="214"/>
      <c r="K28" s="215"/>
      <c r="L28" s="210" t="str">
        <f>VLOOKUP(J17, Data!A:G, 7, 0)</f>
        <v>TR39 0006 2001 6670 0009 0018 20</v>
      </c>
      <c r="M28" s="211"/>
      <c r="N28" s="211"/>
      <c r="O28" s="212"/>
    </row>
    <row r="29" spans="2:15" ht="14.4" customHeight="1" x14ac:dyDescent="0.3">
      <c r="B29" s="202"/>
      <c r="C29" s="203"/>
      <c r="D29" s="207"/>
      <c r="E29" s="208"/>
      <c r="F29" s="208"/>
      <c r="G29" s="208"/>
      <c r="H29" s="209"/>
      <c r="I29" s="204" t="s">
        <v>77</v>
      </c>
      <c r="J29" s="205"/>
      <c r="K29" s="205"/>
      <c r="L29" s="205"/>
      <c r="M29" s="205"/>
      <c r="N29" s="205"/>
      <c r="O29" s="206"/>
    </row>
    <row r="30" spans="2:15" ht="4.95" customHeight="1" x14ac:dyDescent="0.3">
      <c r="B30" s="79"/>
      <c r="C30" s="76"/>
      <c r="D30" s="77"/>
      <c r="E30" s="78"/>
      <c r="F30" s="76"/>
      <c r="G30" s="76"/>
      <c r="H30" s="76"/>
      <c r="I30" s="77"/>
      <c r="J30" s="76"/>
      <c r="K30" s="76"/>
      <c r="L30" s="76"/>
      <c r="M30" s="76"/>
      <c r="N30" s="76"/>
      <c r="O30" s="75"/>
    </row>
    <row r="31" spans="2:15" x14ac:dyDescent="0.3">
      <c r="B31" s="74" t="s">
        <v>93</v>
      </c>
      <c r="C31" s="74"/>
      <c r="F31" s="70" t="s">
        <v>92</v>
      </c>
    </row>
    <row r="32" spans="2:15" x14ac:dyDescent="0.3">
      <c r="B32" s="73"/>
      <c r="C32" s="73"/>
      <c r="F32" s="70" t="s">
        <v>91</v>
      </c>
    </row>
  </sheetData>
  <sheetProtection selectLockedCells="1"/>
  <mergeCells count="71">
    <mergeCell ref="B29:C29"/>
    <mergeCell ref="I29:O29"/>
    <mergeCell ref="D29:H29"/>
    <mergeCell ref="L28:O28"/>
    <mergeCell ref="E28:F28"/>
    <mergeCell ref="I28:K28"/>
    <mergeCell ref="B28:C28"/>
    <mergeCell ref="G28:H28"/>
    <mergeCell ref="N17:O17"/>
    <mergeCell ref="K19:L19"/>
    <mergeCell ref="D26:H26"/>
    <mergeCell ref="E27:F27"/>
    <mergeCell ref="G27:H27"/>
    <mergeCell ref="G21:J21"/>
    <mergeCell ref="I26:K26"/>
    <mergeCell ref="F14:K14"/>
    <mergeCell ref="L24:O24"/>
    <mergeCell ref="L25:O25"/>
    <mergeCell ref="I24:K24"/>
    <mergeCell ref="I25:K25"/>
    <mergeCell ref="C22:O22"/>
    <mergeCell ref="B25:C25"/>
    <mergeCell ref="D24:H24"/>
    <mergeCell ref="B21:F21"/>
    <mergeCell ref="K21:L21"/>
    <mergeCell ref="G19:H19"/>
    <mergeCell ref="I27:K27"/>
    <mergeCell ref="L27:O27"/>
    <mergeCell ref="L26:N26"/>
    <mergeCell ref="B27:C27"/>
    <mergeCell ref="B26:C26"/>
    <mergeCell ref="D25:H25"/>
    <mergeCell ref="F2:K8"/>
    <mergeCell ref="L2:O2"/>
    <mergeCell ref="L7:O7"/>
    <mergeCell ref="L8:O8"/>
    <mergeCell ref="L10:O10"/>
    <mergeCell ref="F9:K9"/>
    <mergeCell ref="F10:K10"/>
    <mergeCell ref="B3:E3"/>
    <mergeCell ref="B8:E8"/>
    <mergeCell ref="C20:D20"/>
    <mergeCell ref="G20:H20"/>
    <mergeCell ref="K20:L20"/>
    <mergeCell ref="C17:D17"/>
    <mergeCell ref="B24:C24"/>
    <mergeCell ref="C19:D19"/>
    <mergeCell ref="F12:K12"/>
    <mergeCell ref="F11:K11"/>
    <mergeCell ref="B7:E7"/>
    <mergeCell ref="B5:E5"/>
    <mergeCell ref="B4:E4"/>
    <mergeCell ref="B6:C6"/>
    <mergeCell ref="D6:E6"/>
    <mergeCell ref="B10:E10"/>
    <mergeCell ref="L11:O11"/>
    <mergeCell ref="I18:J18"/>
    <mergeCell ref="C18:D18"/>
    <mergeCell ref="N18:O18"/>
    <mergeCell ref="F15:K15"/>
    <mergeCell ref="L13:O13"/>
    <mergeCell ref="L14:O14"/>
    <mergeCell ref="K17:L17"/>
    <mergeCell ref="G18:H18"/>
    <mergeCell ref="G17:H17"/>
    <mergeCell ref="B15:E15"/>
    <mergeCell ref="B14:E14"/>
    <mergeCell ref="B13:E13"/>
    <mergeCell ref="B12:E12"/>
    <mergeCell ref="B11:E11"/>
    <mergeCell ref="F13:K13"/>
  </mergeCells>
  <dataValidations count="2">
    <dataValidation type="list" allowBlank="1" showInputMessage="1" showErrorMessage="1" sqref="M17" xr:uid="{00000000-0002-0000-0100-000001000000}">
      <formula1>"MTR,PCS"</formula1>
    </dataValidation>
    <dataValidation type="list" allowBlank="1" showInputMessage="1" showErrorMessage="1" sqref="J17" xr:uid="{00000000-0002-0000-0100-000000000000}">
      <formula1>"USD,EUR,GBP,TL,$,€"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83E2-9F92-4994-8FA7-BEB21C382FD4}">
  <dimension ref="B1:R37"/>
  <sheetViews>
    <sheetView showGridLines="0" zoomScaleNormal="100" workbookViewId="0">
      <selection activeCell="L8" sqref="L8"/>
    </sheetView>
  </sheetViews>
  <sheetFormatPr defaultColWidth="9.109375" defaultRowHeight="13.8" x14ac:dyDescent="0.3"/>
  <cols>
    <col min="1" max="1" width="2.6640625" style="3" customWidth="1"/>
    <col min="2" max="2" width="6.88671875" style="3" customWidth="1"/>
    <col min="3" max="3" width="25.88671875" style="3" customWidth="1"/>
    <col min="4" max="4" width="15.88671875" style="3" customWidth="1"/>
    <col min="5" max="5" width="4.88671875" style="3" customWidth="1"/>
    <col min="6" max="6" width="8.88671875" style="3" customWidth="1"/>
    <col min="7" max="9" width="11.88671875" style="3" customWidth="1"/>
    <col min="10" max="10" width="13" style="3" customWidth="1"/>
    <col min="11" max="16384" width="9.109375" style="3"/>
  </cols>
  <sheetData>
    <row r="1" spans="2:9" ht="20.399999999999999" x14ac:dyDescent="0.35">
      <c r="B1" s="261" t="s">
        <v>57</v>
      </c>
      <c r="C1" s="262"/>
      <c r="D1" s="262"/>
      <c r="E1" s="262"/>
      <c r="F1" s="262"/>
      <c r="G1" s="262"/>
      <c r="H1" s="262"/>
      <c r="I1" s="263"/>
    </row>
    <row r="2" spans="2:9" ht="15" thickBot="1" x14ac:dyDescent="0.35">
      <c r="B2" s="28" t="s">
        <v>17</v>
      </c>
      <c r="C2" s="29"/>
      <c r="D2" s="30"/>
      <c r="E2" s="30"/>
      <c r="F2" s="30"/>
      <c r="G2" s="30"/>
      <c r="H2" s="30"/>
      <c r="I2" s="31"/>
    </row>
    <row r="3" spans="2:9" ht="15" customHeight="1" thickBot="1" x14ac:dyDescent="0.35">
      <c r="B3" s="221" t="s">
        <v>23</v>
      </c>
      <c r="C3" s="219"/>
      <c r="D3" s="219"/>
      <c r="G3" s="32" t="s">
        <v>22</v>
      </c>
      <c r="H3" s="264">
        <v>46094</v>
      </c>
      <c r="I3" s="265"/>
    </row>
    <row r="4" spans="2:9" ht="15" customHeight="1" thickBot="1" x14ac:dyDescent="0.35">
      <c r="B4" s="221" t="s">
        <v>24</v>
      </c>
      <c r="C4" s="219"/>
      <c r="D4" s="219"/>
      <c r="G4" s="33"/>
      <c r="H4" s="2"/>
      <c r="I4" s="34"/>
    </row>
    <row r="5" spans="2:9" ht="15" customHeight="1" thickBot="1" x14ac:dyDescent="0.35">
      <c r="B5" s="221" t="s">
        <v>25</v>
      </c>
      <c r="C5" s="219"/>
      <c r="D5" s="219"/>
      <c r="G5" s="35" t="s">
        <v>21</v>
      </c>
      <c r="H5" s="266" t="s">
        <v>90</v>
      </c>
      <c r="I5" s="267"/>
    </row>
    <row r="6" spans="2:9" ht="15" customHeight="1" x14ac:dyDescent="0.3">
      <c r="B6" s="221" t="s">
        <v>34</v>
      </c>
      <c r="C6" s="219"/>
      <c r="D6" s="219"/>
      <c r="I6" s="36"/>
    </row>
    <row r="7" spans="2:9" ht="15" customHeight="1" x14ac:dyDescent="0.3">
      <c r="B7" s="230" t="s">
        <v>26</v>
      </c>
      <c r="C7" s="231"/>
      <c r="D7" s="231"/>
      <c r="E7" s="37"/>
      <c r="F7" s="37"/>
      <c r="G7" s="38"/>
      <c r="H7" s="39" t="s">
        <v>0</v>
      </c>
      <c r="I7" s="40"/>
    </row>
    <row r="8" spans="2:9" ht="15" customHeight="1" x14ac:dyDescent="0.3">
      <c r="B8" s="28" t="s">
        <v>18</v>
      </c>
      <c r="C8" s="29"/>
      <c r="D8" s="41"/>
      <c r="E8" s="42"/>
      <c r="F8" s="43" t="s">
        <v>19</v>
      </c>
      <c r="G8" s="30"/>
      <c r="H8" s="30"/>
      <c r="I8" s="44"/>
    </row>
    <row r="9" spans="2:9" ht="15" customHeight="1" x14ac:dyDescent="0.3">
      <c r="B9" s="226" t="s">
        <v>13</v>
      </c>
      <c r="C9" s="227"/>
      <c r="D9" s="227"/>
      <c r="E9" s="227"/>
      <c r="F9" s="219" t="s">
        <v>29</v>
      </c>
      <c r="G9" s="219"/>
      <c r="H9" s="219"/>
      <c r="I9" s="220"/>
    </row>
    <row r="10" spans="2:9" ht="15" customHeight="1" x14ac:dyDescent="0.3">
      <c r="B10" s="221" t="s">
        <v>27</v>
      </c>
      <c r="C10" s="219"/>
      <c r="D10" s="219"/>
      <c r="E10" s="219"/>
      <c r="F10" s="219" t="s">
        <v>42</v>
      </c>
      <c r="G10" s="219"/>
      <c r="H10" s="219"/>
      <c r="I10" s="220"/>
    </row>
    <row r="11" spans="2:9" ht="15" customHeight="1" x14ac:dyDescent="0.3">
      <c r="B11" s="232" t="s">
        <v>43</v>
      </c>
      <c r="C11" s="233"/>
      <c r="D11" s="233"/>
      <c r="E11" s="233"/>
      <c r="F11" s="219" t="s">
        <v>41</v>
      </c>
      <c r="G11" s="219"/>
      <c r="H11" s="219"/>
      <c r="I11" s="220"/>
    </row>
    <row r="12" spans="2:9" ht="15" customHeight="1" x14ac:dyDescent="0.3">
      <c r="B12" s="46" t="s">
        <v>39</v>
      </c>
      <c r="F12" s="219" t="s">
        <v>31</v>
      </c>
      <c r="G12" s="219"/>
      <c r="H12" s="219"/>
      <c r="I12" s="220"/>
    </row>
    <row r="13" spans="2:9" ht="15" customHeight="1" x14ac:dyDescent="0.3">
      <c r="B13" s="47" t="s">
        <v>33</v>
      </c>
      <c r="C13" s="38"/>
      <c r="D13" s="37"/>
      <c r="E13" s="37"/>
      <c r="F13" s="38" t="s">
        <v>32</v>
      </c>
      <c r="G13" s="38"/>
      <c r="H13" s="38"/>
      <c r="I13" s="48"/>
    </row>
    <row r="14" spans="2:9" ht="15" customHeight="1" x14ac:dyDescent="0.3">
      <c r="B14" s="28" t="s">
        <v>44</v>
      </c>
      <c r="C14" s="29"/>
      <c r="D14" s="41"/>
      <c r="E14" s="42"/>
      <c r="F14" s="43" t="s">
        <v>50</v>
      </c>
      <c r="G14" s="30"/>
      <c r="H14" s="30"/>
      <c r="I14" s="44"/>
    </row>
    <row r="15" spans="2:9" ht="15" customHeight="1" x14ac:dyDescent="0.3">
      <c r="B15" s="226" t="s">
        <v>45</v>
      </c>
      <c r="C15" s="227"/>
      <c r="D15" s="227"/>
      <c r="E15" s="227"/>
      <c r="F15" s="219" t="s">
        <v>51</v>
      </c>
      <c r="G15" s="219"/>
      <c r="H15" s="219"/>
      <c r="I15" s="220"/>
    </row>
    <row r="16" spans="2:9" ht="15" customHeight="1" x14ac:dyDescent="0.3">
      <c r="B16" s="221" t="s">
        <v>52</v>
      </c>
      <c r="C16" s="219"/>
      <c r="D16" s="219"/>
      <c r="E16" s="219"/>
      <c r="F16" s="219" t="s">
        <v>53</v>
      </c>
      <c r="G16" s="219"/>
      <c r="H16" s="219"/>
      <c r="I16" s="220"/>
    </row>
    <row r="17" spans="2:9" ht="15" customHeight="1" x14ac:dyDescent="0.3">
      <c r="B17" s="232" t="s">
        <v>46</v>
      </c>
      <c r="C17" s="233"/>
      <c r="D17" s="233"/>
      <c r="E17" s="233"/>
      <c r="F17" s="219" t="s">
        <v>54</v>
      </c>
      <c r="G17" s="219"/>
      <c r="H17" s="219"/>
      <c r="I17" s="220"/>
    </row>
    <row r="18" spans="2:9" ht="15" customHeight="1" x14ac:dyDescent="0.3">
      <c r="B18" s="49" t="s">
        <v>47</v>
      </c>
      <c r="F18" s="219" t="s">
        <v>55</v>
      </c>
      <c r="G18" s="219"/>
      <c r="H18" s="219"/>
      <c r="I18" s="220"/>
    </row>
    <row r="19" spans="2:9" ht="15" customHeight="1" x14ac:dyDescent="0.3">
      <c r="B19" s="49" t="s">
        <v>48</v>
      </c>
      <c r="F19" s="24" t="s">
        <v>56</v>
      </c>
      <c r="G19" s="1"/>
      <c r="H19" s="1"/>
      <c r="I19" s="45"/>
    </row>
    <row r="20" spans="2:9" ht="15" customHeight="1" x14ac:dyDescent="0.3">
      <c r="B20" s="50" t="s">
        <v>49</v>
      </c>
      <c r="C20" s="38"/>
      <c r="D20" s="37"/>
      <c r="E20" s="37"/>
      <c r="F20" s="38"/>
      <c r="G20" s="38"/>
      <c r="H20" s="38"/>
      <c r="I20" s="48"/>
    </row>
    <row r="21" spans="2:9" ht="6" customHeight="1" x14ac:dyDescent="0.3">
      <c r="B21" s="51"/>
      <c r="C21" s="52"/>
      <c r="D21" s="52"/>
      <c r="E21" s="52"/>
      <c r="F21" s="52"/>
      <c r="G21" s="52"/>
      <c r="H21" s="52"/>
      <c r="I21" s="53"/>
    </row>
    <row r="22" spans="2:9" x14ac:dyDescent="0.3">
      <c r="B22" s="249" t="s">
        <v>62</v>
      </c>
      <c r="C22" s="250"/>
      <c r="D22" s="251" t="s">
        <v>83</v>
      </c>
      <c r="E22" s="252"/>
      <c r="F22" s="252"/>
      <c r="G22" s="252"/>
      <c r="H22" s="252"/>
      <c r="I22" s="253"/>
    </row>
    <row r="23" spans="2:9" x14ac:dyDescent="0.3">
      <c r="B23" s="249" t="s">
        <v>79</v>
      </c>
      <c r="C23" s="250"/>
      <c r="D23" s="251" t="s">
        <v>80</v>
      </c>
      <c r="E23" s="252"/>
      <c r="F23" s="253"/>
      <c r="G23" s="25" t="s">
        <v>85</v>
      </c>
      <c r="H23" s="251" t="s">
        <v>84</v>
      </c>
      <c r="I23" s="253"/>
    </row>
    <row r="24" spans="2:9" x14ac:dyDescent="0.3">
      <c r="B24" s="249" t="s">
        <v>63</v>
      </c>
      <c r="C24" s="250"/>
      <c r="D24" s="251" t="s">
        <v>59</v>
      </c>
      <c r="E24" s="252"/>
      <c r="F24" s="253"/>
      <c r="G24" s="25" t="s">
        <v>65</v>
      </c>
      <c r="H24" s="251">
        <v>46184</v>
      </c>
      <c r="I24" s="253"/>
    </row>
    <row r="25" spans="2:9" x14ac:dyDescent="0.3">
      <c r="B25" s="249" t="s">
        <v>64</v>
      </c>
      <c r="C25" s="250"/>
      <c r="D25" s="251" t="s">
        <v>61</v>
      </c>
      <c r="E25" s="252"/>
      <c r="F25" s="253"/>
      <c r="G25" s="1"/>
      <c r="I25" s="36"/>
    </row>
    <row r="26" spans="2:9" x14ac:dyDescent="0.3">
      <c r="B26" s="249" t="s">
        <v>81</v>
      </c>
      <c r="C26" s="250"/>
      <c r="D26" s="26">
        <v>788.55</v>
      </c>
      <c r="E26" s="254" t="s">
        <v>82</v>
      </c>
      <c r="F26" s="255"/>
      <c r="G26" s="1"/>
      <c r="I26" s="36"/>
    </row>
    <row r="27" spans="2:9" x14ac:dyDescent="0.3">
      <c r="B27" s="249" t="s">
        <v>66</v>
      </c>
      <c r="C27" s="250"/>
      <c r="D27" s="27">
        <v>1853.09</v>
      </c>
      <c r="E27" s="254" t="s">
        <v>67</v>
      </c>
      <c r="F27" s="255"/>
      <c r="G27" s="1"/>
      <c r="I27" s="36"/>
    </row>
    <row r="28" spans="2:9" x14ac:dyDescent="0.3">
      <c r="B28" s="238" t="s">
        <v>2</v>
      </c>
      <c r="C28" s="239"/>
      <c r="D28" s="26">
        <v>145.85</v>
      </c>
      <c r="E28" s="254" t="s">
        <v>72</v>
      </c>
      <c r="F28" s="255"/>
      <c r="G28" s="25" t="s">
        <v>73</v>
      </c>
      <c r="H28" s="256">
        <v>10</v>
      </c>
      <c r="I28" s="257"/>
    </row>
    <row r="29" spans="2:9" x14ac:dyDescent="0.3">
      <c r="B29" s="238" t="s">
        <v>1</v>
      </c>
      <c r="C29" s="239"/>
      <c r="D29" s="26">
        <v>140.85</v>
      </c>
      <c r="E29" s="254" t="s">
        <v>72</v>
      </c>
      <c r="F29" s="255"/>
      <c r="G29" s="25" t="s">
        <v>74</v>
      </c>
      <c r="H29" s="256" t="s">
        <v>75</v>
      </c>
      <c r="I29" s="257"/>
    </row>
    <row r="30" spans="2:9" x14ac:dyDescent="0.3">
      <c r="B30" s="238" t="s">
        <v>76</v>
      </c>
      <c r="C30" s="239"/>
      <c r="D30" s="258" t="s">
        <v>23</v>
      </c>
      <c r="E30" s="259"/>
      <c r="F30" s="259"/>
      <c r="G30" s="259"/>
      <c r="H30" s="259"/>
      <c r="I30" s="260"/>
    </row>
    <row r="31" spans="2:9" ht="6" customHeight="1" x14ac:dyDescent="0.3">
      <c r="B31" s="54"/>
      <c r="C31" s="55"/>
      <c r="D31" s="55"/>
      <c r="E31" s="55"/>
      <c r="F31" s="55"/>
      <c r="G31" s="55"/>
      <c r="H31" s="55"/>
      <c r="I31" s="56"/>
    </row>
    <row r="32" spans="2:9" x14ac:dyDescent="0.3">
      <c r="B32" s="238" t="s">
        <v>87</v>
      </c>
      <c r="C32" s="239"/>
      <c r="D32" s="251" t="s">
        <v>86</v>
      </c>
      <c r="E32" s="252"/>
      <c r="F32" s="252"/>
      <c r="G32" s="252"/>
      <c r="H32" s="252"/>
      <c r="I32" s="253"/>
    </row>
    <row r="33" spans="2:18" x14ac:dyDescent="0.3">
      <c r="B33" s="238" t="s">
        <v>88</v>
      </c>
      <c r="C33" s="239"/>
      <c r="D33" s="240" t="s">
        <v>89</v>
      </c>
      <c r="E33" s="241"/>
      <c r="F33" s="241"/>
      <c r="G33" s="241"/>
      <c r="H33" s="241"/>
      <c r="I33" s="242"/>
    </row>
    <row r="34" spans="2:18" ht="6" customHeight="1" x14ac:dyDescent="0.3">
      <c r="B34" s="54"/>
      <c r="C34" s="55"/>
      <c r="D34" s="55"/>
      <c r="E34" s="55"/>
      <c r="F34" s="55"/>
      <c r="G34" s="55"/>
      <c r="H34" s="55"/>
      <c r="I34" s="56"/>
    </row>
    <row r="35" spans="2:18" x14ac:dyDescent="0.3">
      <c r="B35" s="243" t="s">
        <v>77</v>
      </c>
      <c r="C35" s="244"/>
      <c r="D35" s="244"/>
      <c r="E35" s="244"/>
      <c r="F35" s="244"/>
      <c r="G35" s="244"/>
      <c r="H35" s="244"/>
      <c r="I35" s="245"/>
      <c r="K35" s="2"/>
      <c r="L35" s="2"/>
      <c r="M35" s="2"/>
      <c r="N35" s="2"/>
      <c r="O35" s="2"/>
      <c r="P35" s="2"/>
      <c r="Q35" s="2"/>
      <c r="R35" s="2"/>
    </row>
    <row r="36" spans="2:18" x14ac:dyDescent="0.3">
      <c r="B36" s="246" t="s">
        <v>78</v>
      </c>
      <c r="C36" s="247"/>
      <c r="D36" s="247"/>
      <c r="E36" s="247"/>
      <c r="F36" s="247"/>
      <c r="G36" s="247"/>
      <c r="H36" s="247"/>
      <c r="I36" s="248"/>
    </row>
    <row r="37" spans="2:18" x14ac:dyDescent="0.3">
      <c r="C37" s="228"/>
      <c r="D37" s="228"/>
      <c r="E37" s="228"/>
      <c r="F37" s="228"/>
      <c r="G37" s="228"/>
      <c r="H37" s="228"/>
      <c r="I37" s="228"/>
    </row>
  </sheetData>
  <mergeCells count="51">
    <mergeCell ref="B1:I1"/>
    <mergeCell ref="B3:D3"/>
    <mergeCell ref="H3:I3"/>
    <mergeCell ref="B4:D4"/>
    <mergeCell ref="B5:D5"/>
    <mergeCell ref="H5:I5"/>
    <mergeCell ref="B11:E11"/>
    <mergeCell ref="F11:I11"/>
    <mergeCell ref="F12:I12"/>
    <mergeCell ref="F18:I18"/>
    <mergeCell ref="B6:D6"/>
    <mergeCell ref="B7:D7"/>
    <mergeCell ref="B9:E9"/>
    <mergeCell ref="F9:I9"/>
    <mergeCell ref="B10:E10"/>
    <mergeCell ref="F10:I10"/>
    <mergeCell ref="C37:I37"/>
    <mergeCell ref="B15:E15"/>
    <mergeCell ref="F15:I15"/>
    <mergeCell ref="B16:E16"/>
    <mergeCell ref="F16:I16"/>
    <mergeCell ref="B17:E17"/>
    <mergeCell ref="F17:I17"/>
    <mergeCell ref="E27:F27"/>
    <mergeCell ref="B22:C22"/>
    <mergeCell ref="B24:C24"/>
    <mergeCell ref="B25:C25"/>
    <mergeCell ref="D24:F24"/>
    <mergeCell ref="D25:F25"/>
    <mergeCell ref="D22:I22"/>
    <mergeCell ref="D23:F23"/>
    <mergeCell ref="B26:C26"/>
    <mergeCell ref="E26:F26"/>
    <mergeCell ref="H23:I23"/>
    <mergeCell ref="H24:I24"/>
    <mergeCell ref="B33:C33"/>
    <mergeCell ref="D33:I33"/>
    <mergeCell ref="B35:I35"/>
    <mergeCell ref="B36:I36"/>
    <mergeCell ref="B23:C23"/>
    <mergeCell ref="B32:C32"/>
    <mergeCell ref="H28:I28"/>
    <mergeCell ref="H29:I29"/>
    <mergeCell ref="B30:C30"/>
    <mergeCell ref="D30:I30"/>
    <mergeCell ref="D32:I32"/>
    <mergeCell ref="B28:C28"/>
    <mergeCell ref="B29:C29"/>
    <mergeCell ref="E28:F28"/>
    <mergeCell ref="E29:F29"/>
    <mergeCell ref="B27:C27"/>
  </mergeCells>
  <hyperlinks>
    <hyperlink ref="B19" r:id="rId1" xr:uid="{7DDB3D8D-F5E3-447F-B4B7-4DFA133DF907}"/>
    <hyperlink ref="B20" r:id="rId2" xr:uid="{A2B11D8E-41E9-4188-8720-C8CC69382033}"/>
    <hyperlink ref="B18" r:id="rId3" xr:uid="{5E922125-6130-4449-99F9-3B784AA9D3ED}"/>
    <hyperlink ref="F19" r:id="rId4" xr:uid="{E0721D6F-01DE-4D9C-BBD5-392F8C3B2632}"/>
  </hyperlinks>
  <pageMargins left="0.23622047244094491" right="0.23622047244094491" top="1.3385826771653544" bottom="0.74803149606299213" header="0.31496062992125984" footer="0.31496062992125984"/>
  <pageSetup paperSize="9" orientation="portrait" horizontalDpi="360" verticalDpi="360" r:id="rId5"/>
  <headerFooter>
    <oddHeader>&amp;C&amp;G</oddHeader>
    <oddFooter>&amp;C&amp;"Arial,Kalın"&amp;9U.SK. TEKSTIL SANAYI VE TICARET LIMITED SIRKET&amp;"Arial,Normal"
DEMIRTAS DUMLUPINAR OSB, MUSTAFA KARAER CD., NO.49/2, OSMANGAZI, BURSA, TURKIYE
PHONE. +90 224 2612100 / E-MAIL. info@usktekstil.com.tr</oddFooter>
  </headerFooter>
  <legacyDrawingHF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AA92-939E-400D-9CCD-9B8E8A694E60}">
  <dimension ref="A3:G9"/>
  <sheetViews>
    <sheetView workbookViewId="0">
      <selection activeCell="A3" sqref="A3"/>
    </sheetView>
  </sheetViews>
  <sheetFormatPr defaultRowHeight="14.4" x14ac:dyDescent="0.3"/>
  <cols>
    <col min="1" max="1" width="14" style="269" bestFit="1" customWidth="1"/>
    <col min="2" max="2" width="26.5546875" style="269" bestFit="1" customWidth="1"/>
    <col min="3" max="3" width="31.6640625" style="269" bestFit="1" customWidth="1"/>
    <col min="4" max="4" width="23.33203125" style="269" bestFit="1" customWidth="1"/>
    <col min="5" max="5" width="35.5546875" style="269" bestFit="1" customWidth="1"/>
    <col min="6" max="6" width="16.33203125" style="269" customWidth="1"/>
    <col min="7" max="7" width="35.5546875" style="269" bestFit="1" customWidth="1"/>
    <col min="8" max="16384" width="8.88671875" style="269"/>
  </cols>
  <sheetData>
    <row r="3" spans="1:7" x14ac:dyDescent="0.3">
      <c r="A3" s="268" t="s">
        <v>137</v>
      </c>
      <c r="B3" s="268" t="s">
        <v>100</v>
      </c>
      <c r="C3" s="268" t="s">
        <v>99</v>
      </c>
      <c r="D3" s="268" t="s">
        <v>138</v>
      </c>
      <c r="E3" s="268" t="s">
        <v>96</v>
      </c>
      <c r="F3" s="268" t="s">
        <v>139</v>
      </c>
      <c r="G3" s="268" t="s">
        <v>94</v>
      </c>
    </row>
    <row r="4" spans="1:7" x14ac:dyDescent="0.3">
      <c r="A4" s="270" t="s">
        <v>67</v>
      </c>
      <c r="B4" s="271" t="s">
        <v>140</v>
      </c>
      <c r="C4" s="272" t="s">
        <v>141</v>
      </c>
      <c r="D4" s="273" t="s">
        <v>142</v>
      </c>
      <c r="E4" s="272">
        <v>9001820</v>
      </c>
      <c r="F4" s="272" t="s">
        <v>67</v>
      </c>
      <c r="G4" s="273" t="s">
        <v>143</v>
      </c>
    </row>
    <row r="5" spans="1:7" x14ac:dyDescent="0.3">
      <c r="A5" s="270" t="s">
        <v>144</v>
      </c>
      <c r="B5" s="274" t="s">
        <v>140</v>
      </c>
      <c r="C5" s="272" t="s">
        <v>141</v>
      </c>
      <c r="D5" s="273" t="s">
        <v>142</v>
      </c>
      <c r="E5" s="272">
        <v>9094319</v>
      </c>
      <c r="F5" s="272" t="s">
        <v>145</v>
      </c>
      <c r="G5" s="272" t="s">
        <v>146</v>
      </c>
    </row>
    <row r="6" spans="1:7" x14ac:dyDescent="0.3">
      <c r="A6" s="270" t="s">
        <v>147</v>
      </c>
      <c r="B6" s="274" t="s">
        <v>148</v>
      </c>
      <c r="C6" s="272" t="s">
        <v>149</v>
      </c>
      <c r="D6" s="273" t="s">
        <v>150</v>
      </c>
      <c r="E6" s="273" t="s">
        <v>151</v>
      </c>
      <c r="F6" s="273" t="s">
        <v>147</v>
      </c>
      <c r="G6" s="272" t="s">
        <v>152</v>
      </c>
    </row>
    <row r="7" spans="1:7" x14ac:dyDescent="0.3">
      <c r="A7" s="270" t="s">
        <v>153</v>
      </c>
      <c r="B7" s="271" t="s">
        <v>140</v>
      </c>
      <c r="C7" s="272" t="s">
        <v>141</v>
      </c>
      <c r="D7" s="273" t="s">
        <v>142</v>
      </c>
      <c r="E7" s="272">
        <v>6298283</v>
      </c>
      <c r="F7" s="272" t="s">
        <v>154</v>
      </c>
      <c r="G7" s="273" t="s">
        <v>155</v>
      </c>
    </row>
    <row r="8" spans="1:7" x14ac:dyDescent="0.3">
      <c r="A8" s="270" t="s">
        <v>156</v>
      </c>
      <c r="B8" s="274" t="s">
        <v>157</v>
      </c>
      <c r="C8" s="272" t="s">
        <v>157</v>
      </c>
      <c r="D8" s="273" t="s">
        <v>157</v>
      </c>
      <c r="E8" s="273" t="s">
        <v>157</v>
      </c>
      <c r="F8" s="273" t="s">
        <v>158</v>
      </c>
      <c r="G8" s="272" t="s">
        <v>157</v>
      </c>
    </row>
    <row r="9" spans="1:7" x14ac:dyDescent="0.3">
      <c r="A9" s="270" t="s">
        <v>159</v>
      </c>
      <c r="B9" s="274" t="s">
        <v>157</v>
      </c>
      <c r="C9" s="272" t="s">
        <v>157</v>
      </c>
      <c r="D9" s="273" t="s">
        <v>157</v>
      </c>
      <c r="E9" s="273" t="s">
        <v>157</v>
      </c>
      <c r="F9" s="273" t="s">
        <v>160</v>
      </c>
      <c r="G9" s="272" t="s">
        <v>157</v>
      </c>
    </row>
  </sheetData>
  <sheetProtection password="CCED" sheet="1" objects="1" scenarios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9D8F-3A6D-4D2F-9E41-A8D815EACC01}">
  <dimension ref="B1:O32"/>
  <sheetViews>
    <sheetView zoomScale="130" zoomScaleNormal="130" zoomScaleSheetLayoutView="120" workbookViewId="0">
      <selection activeCell="A3" sqref="A3"/>
    </sheetView>
  </sheetViews>
  <sheetFormatPr defaultColWidth="8.88671875" defaultRowHeight="13.2" x14ac:dyDescent="0.3"/>
  <cols>
    <col min="1" max="1" width="0.33203125" style="70" customWidth="1"/>
    <col min="2" max="2" width="12.6640625" style="70" customWidth="1"/>
    <col min="3" max="3" width="4.6640625" style="70" customWidth="1"/>
    <col min="4" max="4" width="9.6640625" style="71" customWidth="1"/>
    <col min="5" max="5" width="10.6640625" style="72" customWidth="1"/>
    <col min="6" max="6" width="8.6640625" style="70" customWidth="1"/>
    <col min="7" max="7" width="6.6640625" style="70" customWidth="1"/>
    <col min="8" max="8" width="4.6640625" style="70" customWidth="1"/>
    <col min="9" max="9" width="5.6640625" style="71" customWidth="1"/>
    <col min="10" max="10" width="3.6640625" style="70" customWidth="1"/>
    <col min="11" max="11" width="5.6640625" style="70" customWidth="1"/>
    <col min="12" max="13" width="4.6640625" style="70" customWidth="1"/>
    <col min="14" max="14" width="11.6640625" style="70" customWidth="1"/>
    <col min="15" max="15" width="3.6640625" style="70" customWidth="1"/>
    <col min="16" max="16" width="1.6640625" style="70" customWidth="1"/>
    <col min="17" max="16384" width="8.88671875" style="70"/>
  </cols>
  <sheetData>
    <row r="1" spans="2:15" ht="4.95" customHeight="1" x14ac:dyDescent="0.3"/>
    <row r="2" spans="2:15" ht="14.4" customHeight="1" x14ac:dyDescent="0.3">
      <c r="B2" s="125" t="s">
        <v>136</v>
      </c>
      <c r="C2" s="122"/>
      <c r="D2" s="121"/>
      <c r="E2" s="124"/>
      <c r="F2" s="153" t="s">
        <v>135</v>
      </c>
      <c r="G2" s="154"/>
      <c r="H2" s="154"/>
      <c r="I2" s="154"/>
      <c r="J2" s="154"/>
      <c r="K2" s="154"/>
      <c r="L2" s="159"/>
      <c r="M2" s="160"/>
      <c r="N2" s="160"/>
      <c r="O2" s="161"/>
    </row>
    <row r="3" spans="2:15" ht="14.4" customHeight="1" x14ac:dyDescent="0.3">
      <c r="B3" s="164" t="s">
        <v>134</v>
      </c>
      <c r="C3" s="165"/>
      <c r="D3" s="165"/>
      <c r="E3" s="165"/>
      <c r="F3" s="155"/>
      <c r="G3" s="156"/>
      <c r="H3" s="156"/>
      <c r="I3" s="156"/>
      <c r="J3" s="156"/>
      <c r="K3" s="156"/>
      <c r="L3" s="119"/>
      <c r="O3" s="118"/>
    </row>
    <row r="4" spans="2:15" ht="14.4" customHeight="1" x14ac:dyDescent="0.3">
      <c r="B4" s="146" t="s">
        <v>133</v>
      </c>
      <c r="C4" s="147"/>
      <c r="D4" s="147"/>
      <c r="E4" s="147"/>
      <c r="F4" s="155"/>
      <c r="G4" s="156"/>
      <c r="H4" s="156"/>
      <c r="I4" s="156"/>
      <c r="J4" s="156"/>
      <c r="K4" s="156"/>
      <c r="L4" s="119"/>
      <c r="O4" s="118"/>
    </row>
    <row r="5" spans="2:15" ht="14.4" customHeight="1" x14ac:dyDescent="0.3">
      <c r="B5" s="146" t="s">
        <v>132</v>
      </c>
      <c r="C5" s="147"/>
      <c r="D5" s="147"/>
      <c r="E5" s="147"/>
      <c r="F5" s="155"/>
      <c r="G5" s="156"/>
      <c r="H5" s="156"/>
      <c r="I5" s="156"/>
      <c r="J5" s="156"/>
      <c r="K5" s="156"/>
      <c r="L5" s="119"/>
      <c r="O5" s="118"/>
    </row>
    <row r="6" spans="2:15" ht="14.4" customHeight="1" x14ac:dyDescent="0.3">
      <c r="B6" s="146" t="s">
        <v>131</v>
      </c>
      <c r="C6" s="147"/>
      <c r="D6" s="147" t="s">
        <v>130</v>
      </c>
      <c r="E6" s="148"/>
      <c r="F6" s="155"/>
      <c r="G6" s="156"/>
      <c r="H6" s="156"/>
      <c r="I6" s="156"/>
      <c r="J6" s="156"/>
      <c r="K6" s="156"/>
      <c r="L6" s="119"/>
      <c r="O6" s="118"/>
    </row>
    <row r="7" spans="2:15" ht="14.4" customHeight="1" x14ac:dyDescent="0.3">
      <c r="B7" s="146" t="s">
        <v>129</v>
      </c>
      <c r="C7" s="147"/>
      <c r="D7" s="147"/>
      <c r="E7" s="147"/>
      <c r="F7" s="155"/>
      <c r="G7" s="156"/>
      <c r="H7" s="156"/>
      <c r="I7" s="156"/>
      <c r="J7" s="156"/>
      <c r="K7" s="156"/>
      <c r="L7" s="135" t="s">
        <v>21</v>
      </c>
      <c r="M7" s="136"/>
      <c r="N7" s="136"/>
      <c r="O7" s="137"/>
    </row>
    <row r="8" spans="2:15" ht="14.4" customHeight="1" x14ac:dyDescent="0.3">
      <c r="B8" s="166" t="s">
        <v>128</v>
      </c>
      <c r="C8" s="167"/>
      <c r="D8" s="167"/>
      <c r="E8" s="167"/>
      <c r="F8" s="157"/>
      <c r="G8" s="158"/>
      <c r="H8" s="158"/>
      <c r="I8" s="158"/>
      <c r="J8" s="158"/>
      <c r="K8" s="158"/>
      <c r="L8" s="138" t="s">
        <v>90</v>
      </c>
      <c r="M8" s="139"/>
      <c r="N8" s="139"/>
      <c r="O8" s="140"/>
    </row>
    <row r="9" spans="2:15" ht="14.4" customHeight="1" x14ac:dyDescent="0.3">
      <c r="B9" s="123" t="s">
        <v>127</v>
      </c>
      <c r="C9" s="122"/>
      <c r="D9" s="121"/>
      <c r="E9" s="120"/>
      <c r="F9" s="162" t="s">
        <v>126</v>
      </c>
      <c r="G9" s="163"/>
      <c r="H9" s="163"/>
      <c r="I9" s="163"/>
      <c r="J9" s="163"/>
      <c r="K9" s="163"/>
      <c r="L9" s="119"/>
      <c r="O9" s="118"/>
    </row>
    <row r="10" spans="2:15" ht="14.4" customHeight="1" x14ac:dyDescent="0.3">
      <c r="B10" s="149" t="s">
        <v>125</v>
      </c>
      <c r="C10" s="150"/>
      <c r="D10" s="150"/>
      <c r="E10" s="151"/>
      <c r="F10" s="149" t="s">
        <v>29</v>
      </c>
      <c r="G10" s="150"/>
      <c r="H10" s="150"/>
      <c r="I10" s="150"/>
      <c r="J10" s="150"/>
      <c r="K10" s="150"/>
      <c r="L10" s="135" t="s">
        <v>124</v>
      </c>
      <c r="M10" s="136"/>
      <c r="N10" s="136"/>
      <c r="O10" s="137"/>
    </row>
    <row r="11" spans="2:15" ht="14.4" customHeight="1" x14ac:dyDescent="0.3">
      <c r="B11" s="143" t="s">
        <v>123</v>
      </c>
      <c r="C11" s="144"/>
      <c r="D11" s="144"/>
      <c r="E11" s="145"/>
      <c r="F11" s="143" t="s">
        <v>38</v>
      </c>
      <c r="G11" s="144"/>
      <c r="H11" s="144"/>
      <c r="I11" s="144"/>
      <c r="J11" s="144"/>
      <c r="K11" s="144"/>
      <c r="L11" s="126">
        <v>46094</v>
      </c>
      <c r="M11" s="127"/>
      <c r="N11" s="127"/>
      <c r="O11" s="128"/>
    </row>
    <row r="12" spans="2:15" ht="14.4" customHeight="1" x14ac:dyDescent="0.3">
      <c r="B12" s="143" t="s">
        <v>28</v>
      </c>
      <c r="C12" s="144"/>
      <c r="D12" s="144"/>
      <c r="E12" s="145"/>
      <c r="F12" s="143" t="s">
        <v>40</v>
      </c>
      <c r="G12" s="144"/>
      <c r="H12" s="144"/>
      <c r="I12" s="144"/>
      <c r="J12" s="144"/>
      <c r="K12" s="144"/>
      <c r="L12" s="119"/>
      <c r="O12" s="118"/>
    </row>
    <row r="13" spans="2:15" ht="14.4" customHeight="1" x14ac:dyDescent="0.3">
      <c r="B13" s="143" t="s">
        <v>14</v>
      </c>
      <c r="C13" s="144"/>
      <c r="D13" s="144"/>
      <c r="E13" s="145"/>
      <c r="F13" s="143" t="s">
        <v>30</v>
      </c>
      <c r="G13" s="144"/>
      <c r="H13" s="144"/>
      <c r="I13" s="144"/>
      <c r="J13" s="144"/>
      <c r="K13" s="144"/>
      <c r="L13" s="135" t="s">
        <v>122</v>
      </c>
      <c r="M13" s="136"/>
      <c r="N13" s="136"/>
      <c r="O13" s="137"/>
    </row>
    <row r="14" spans="2:15" ht="14.4" customHeight="1" x14ac:dyDescent="0.3">
      <c r="B14" s="143" t="s">
        <v>39</v>
      </c>
      <c r="C14" s="144"/>
      <c r="D14" s="144"/>
      <c r="E14" s="145"/>
      <c r="F14" s="143" t="s">
        <v>31</v>
      </c>
      <c r="G14" s="144"/>
      <c r="H14" s="144"/>
      <c r="I14" s="144"/>
      <c r="J14" s="144"/>
      <c r="K14" s="144"/>
      <c r="L14" s="138" t="s">
        <v>121</v>
      </c>
      <c r="M14" s="139"/>
      <c r="N14" s="139"/>
      <c r="O14" s="140"/>
    </row>
    <row r="15" spans="2:15" ht="14.4" customHeight="1" x14ac:dyDescent="0.3">
      <c r="B15" s="133" t="s">
        <v>120</v>
      </c>
      <c r="C15" s="134"/>
      <c r="D15" s="134"/>
      <c r="E15" s="142"/>
      <c r="F15" s="133" t="s">
        <v>119</v>
      </c>
      <c r="G15" s="134"/>
      <c r="H15" s="134"/>
      <c r="I15" s="134"/>
      <c r="J15" s="134"/>
      <c r="K15" s="134"/>
      <c r="L15" s="117"/>
      <c r="M15" s="116"/>
      <c r="N15" s="116"/>
      <c r="O15" s="115"/>
    </row>
    <row r="16" spans="2:15" ht="4.95" customHeight="1" x14ac:dyDescent="0.3">
      <c r="B16" s="114"/>
      <c r="C16" s="111"/>
      <c r="D16" s="112"/>
      <c r="E16" s="113"/>
      <c r="F16" s="111"/>
      <c r="G16" s="111"/>
      <c r="H16" s="111"/>
      <c r="I16" s="112"/>
      <c r="J16" s="111"/>
      <c r="K16" s="111"/>
      <c r="L16" s="111"/>
      <c r="M16" s="111"/>
      <c r="N16" s="111"/>
      <c r="O16" s="110"/>
    </row>
    <row r="17" spans="2:15" s="105" customFormat="1" ht="30" customHeight="1" x14ac:dyDescent="0.25">
      <c r="B17" s="109" t="s">
        <v>118</v>
      </c>
      <c r="C17" s="171" t="s">
        <v>117</v>
      </c>
      <c r="D17" s="171"/>
      <c r="E17" s="108" t="s">
        <v>116</v>
      </c>
      <c r="F17" s="106" t="s">
        <v>115</v>
      </c>
      <c r="G17" s="141" t="s">
        <v>114</v>
      </c>
      <c r="H17" s="141"/>
      <c r="I17" s="106" t="s">
        <v>113</v>
      </c>
      <c r="J17" s="107" t="s">
        <v>67</v>
      </c>
      <c r="K17" s="141" t="s">
        <v>112</v>
      </c>
      <c r="L17" s="141"/>
      <c r="M17" s="107" t="s">
        <v>111</v>
      </c>
      <c r="N17" s="141" t="s">
        <v>110</v>
      </c>
      <c r="O17" s="196"/>
    </row>
    <row r="18" spans="2:15" ht="4.95" customHeight="1" x14ac:dyDescent="0.3">
      <c r="B18" s="104"/>
      <c r="C18" s="130"/>
      <c r="D18" s="130"/>
      <c r="E18" s="103"/>
      <c r="F18" s="103"/>
      <c r="G18" s="129"/>
      <c r="H18" s="129"/>
      <c r="I18" s="129"/>
      <c r="J18" s="129"/>
      <c r="K18" s="102"/>
      <c r="L18" s="102"/>
      <c r="N18" s="131"/>
      <c r="O18" s="132"/>
    </row>
    <row r="19" spans="2:15" ht="26.4" x14ac:dyDescent="0.3">
      <c r="B19" s="101" t="s">
        <v>109</v>
      </c>
      <c r="C19" s="174" t="s">
        <v>108</v>
      </c>
      <c r="D19" s="174"/>
      <c r="E19" s="100" t="s">
        <v>107</v>
      </c>
      <c r="F19" s="100" t="s">
        <v>106</v>
      </c>
      <c r="G19" s="179" t="s">
        <v>105</v>
      </c>
      <c r="H19" s="174"/>
      <c r="I19" s="99">
        <v>2.35</v>
      </c>
      <c r="J19" s="98" t="str">
        <f>$J$17</f>
        <v>USD</v>
      </c>
      <c r="K19" s="197">
        <v>788.55</v>
      </c>
      <c r="L19" s="197"/>
      <c r="M19" s="98" t="str">
        <f>$M$17</f>
        <v>MTR</v>
      </c>
      <c r="N19" s="97">
        <f>K19*I19</f>
        <v>1853.0925</v>
      </c>
      <c r="O19" s="96" t="str">
        <f>$J$17</f>
        <v>USD</v>
      </c>
    </row>
    <row r="20" spans="2:15" ht="28.95" customHeight="1" x14ac:dyDescent="0.3">
      <c r="B20" s="95"/>
      <c r="C20" s="168"/>
      <c r="D20" s="168"/>
      <c r="E20" s="94"/>
      <c r="F20" s="94"/>
      <c r="G20" s="169"/>
      <c r="H20" s="168"/>
      <c r="I20" s="93"/>
      <c r="J20" s="92" t="str">
        <f>$J$17</f>
        <v>USD</v>
      </c>
      <c r="K20" s="170"/>
      <c r="L20" s="170"/>
      <c r="M20" s="92" t="str">
        <f>$M$17</f>
        <v>MTR</v>
      </c>
      <c r="N20" s="91">
        <f>K20*I20</f>
        <v>0</v>
      </c>
      <c r="O20" s="90" t="str">
        <f>$J$17</f>
        <v>USD</v>
      </c>
    </row>
    <row r="21" spans="2:15" s="85" customFormat="1" ht="14.4" customHeight="1" x14ac:dyDescent="0.3">
      <c r="B21" s="175" t="s">
        <v>104</v>
      </c>
      <c r="C21" s="176"/>
      <c r="D21" s="176"/>
      <c r="E21" s="176"/>
      <c r="F21" s="176"/>
      <c r="G21" s="200" t="s">
        <v>103</v>
      </c>
      <c r="H21" s="200"/>
      <c r="I21" s="200"/>
      <c r="J21" s="201"/>
      <c r="K21" s="177">
        <f>SUM(K19:K20)</f>
        <v>788.55</v>
      </c>
      <c r="L21" s="178"/>
      <c r="M21" s="89" t="str">
        <f>$M$17</f>
        <v>MTR</v>
      </c>
      <c r="N21" s="88">
        <f>SUM(N19:N20)</f>
        <v>1853.0925</v>
      </c>
      <c r="O21" s="87" t="str">
        <f>$J$17</f>
        <v>USD</v>
      </c>
    </row>
    <row r="22" spans="2:15" s="85" customFormat="1" ht="28.95" customHeight="1" x14ac:dyDescent="0.3">
      <c r="B22" s="86" t="s">
        <v>102</v>
      </c>
      <c r="C22" s="192" t="s">
        <v>101</v>
      </c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3"/>
    </row>
    <row r="23" spans="2:15" ht="4.95" customHeight="1" x14ac:dyDescent="0.3">
      <c r="B23" s="82"/>
      <c r="C23" s="82"/>
      <c r="D23" s="83"/>
      <c r="E23" s="84"/>
      <c r="F23" s="82"/>
      <c r="G23" s="82"/>
      <c r="H23" s="82"/>
      <c r="I23" s="83"/>
      <c r="J23" s="82"/>
      <c r="K23" s="82"/>
      <c r="L23" s="82"/>
      <c r="M23" s="82"/>
      <c r="N23" s="82"/>
      <c r="O23" s="82"/>
    </row>
    <row r="24" spans="2:15" ht="14.4" customHeight="1" x14ac:dyDescent="0.3">
      <c r="B24" s="172" t="s">
        <v>58</v>
      </c>
      <c r="C24" s="173"/>
      <c r="D24" s="152" t="s">
        <v>59</v>
      </c>
      <c r="E24" s="152"/>
      <c r="F24" s="152"/>
      <c r="G24" s="152"/>
      <c r="H24" s="152"/>
      <c r="I24" s="189" t="s">
        <v>100</v>
      </c>
      <c r="J24" s="190"/>
      <c r="K24" s="191"/>
      <c r="L24" s="186" t="str">
        <f>VLOOKUP(J17, Data!A:G, 2, 0)</f>
        <v>T. GARANTI BANKASI A.S.</v>
      </c>
      <c r="M24" s="187"/>
      <c r="N24" s="187"/>
      <c r="O24" s="188"/>
    </row>
    <row r="25" spans="2:15" ht="14.4" customHeight="1" x14ac:dyDescent="0.3">
      <c r="B25" s="172" t="s">
        <v>60</v>
      </c>
      <c r="C25" s="173"/>
      <c r="D25" s="152" t="s">
        <v>61</v>
      </c>
      <c r="E25" s="152"/>
      <c r="F25" s="152"/>
      <c r="G25" s="152"/>
      <c r="H25" s="152"/>
      <c r="I25" s="180" t="s">
        <v>99</v>
      </c>
      <c r="J25" s="181"/>
      <c r="K25" s="181"/>
      <c r="L25" s="183" t="str">
        <f>VLOOKUP(J17, Data!A:G, 3, 0)</f>
        <v>BURSA TICARI BRANCH - 1667</v>
      </c>
      <c r="M25" s="184"/>
      <c r="N25" s="184"/>
      <c r="O25" s="185"/>
    </row>
    <row r="26" spans="2:15" ht="14.4" customHeight="1" x14ac:dyDescent="0.3">
      <c r="B26" s="172" t="s">
        <v>98</v>
      </c>
      <c r="C26" s="173"/>
      <c r="D26" s="152" t="s">
        <v>97</v>
      </c>
      <c r="E26" s="152"/>
      <c r="F26" s="152"/>
      <c r="G26" s="152"/>
      <c r="H26" s="152"/>
      <c r="I26" s="180" t="s">
        <v>96</v>
      </c>
      <c r="J26" s="181"/>
      <c r="K26" s="182"/>
      <c r="L26" s="183">
        <f>VLOOKUP(J17, Data!A:G, 5, 0)</f>
        <v>9001820</v>
      </c>
      <c r="M26" s="184"/>
      <c r="N26" s="184"/>
      <c r="O26" s="81" t="str">
        <f>VLOOKUP(J17, Data!A:G, 6, 0)</f>
        <v>USD</v>
      </c>
    </row>
    <row r="27" spans="2:15" ht="14.4" customHeight="1" x14ac:dyDescent="0.3">
      <c r="B27" s="172" t="s">
        <v>68</v>
      </c>
      <c r="C27" s="173"/>
      <c r="D27" s="80">
        <v>145.85</v>
      </c>
      <c r="E27" s="198" t="s">
        <v>69</v>
      </c>
      <c r="F27" s="199"/>
      <c r="G27" s="194">
        <v>10</v>
      </c>
      <c r="H27" s="195"/>
      <c r="I27" s="180" t="s">
        <v>95</v>
      </c>
      <c r="J27" s="181"/>
      <c r="K27" s="182"/>
      <c r="L27" s="183" t="str">
        <f>VLOOKUP(J17, Data!A:G, 4, 0)</f>
        <v>TGBATRISXXX</v>
      </c>
      <c r="M27" s="184"/>
      <c r="N27" s="184"/>
      <c r="O27" s="185"/>
    </row>
    <row r="28" spans="2:15" ht="14.4" customHeight="1" x14ac:dyDescent="0.3">
      <c r="B28" s="172" t="s">
        <v>70</v>
      </c>
      <c r="C28" s="173"/>
      <c r="D28" s="80">
        <v>140.85</v>
      </c>
      <c r="E28" s="198" t="s">
        <v>71</v>
      </c>
      <c r="F28" s="199"/>
      <c r="G28" s="194"/>
      <c r="H28" s="195"/>
      <c r="I28" s="213" t="s">
        <v>94</v>
      </c>
      <c r="J28" s="214"/>
      <c r="K28" s="215"/>
      <c r="L28" s="210" t="str">
        <f>VLOOKUP(J17, Data!A:G, 7, 0)</f>
        <v>TR39 0006 2001 6670 0009 0018 20</v>
      </c>
      <c r="M28" s="211"/>
      <c r="N28" s="211"/>
      <c r="O28" s="212"/>
    </row>
    <row r="29" spans="2:15" ht="14.4" customHeight="1" x14ac:dyDescent="0.3">
      <c r="B29" s="202"/>
      <c r="C29" s="203"/>
      <c r="D29" s="207"/>
      <c r="E29" s="208"/>
      <c r="F29" s="208"/>
      <c r="G29" s="208"/>
      <c r="H29" s="209"/>
      <c r="I29" s="204" t="s">
        <v>77</v>
      </c>
      <c r="J29" s="205"/>
      <c r="K29" s="205"/>
      <c r="L29" s="205"/>
      <c r="M29" s="205"/>
      <c r="N29" s="205"/>
      <c r="O29" s="206"/>
    </row>
    <row r="30" spans="2:15" ht="4.95" customHeight="1" x14ac:dyDescent="0.3">
      <c r="B30" s="79"/>
      <c r="C30" s="76"/>
      <c r="D30" s="77"/>
      <c r="E30" s="78"/>
      <c r="F30" s="76"/>
      <c r="G30" s="76"/>
      <c r="H30" s="76"/>
      <c r="I30" s="77"/>
      <c r="J30" s="76"/>
      <c r="K30" s="76"/>
      <c r="L30" s="76"/>
      <c r="M30" s="76"/>
      <c r="N30" s="76"/>
      <c r="O30" s="75"/>
    </row>
    <row r="31" spans="2:15" x14ac:dyDescent="0.3">
      <c r="B31" s="74" t="s">
        <v>93</v>
      </c>
      <c r="C31" s="74"/>
      <c r="F31" s="70" t="s">
        <v>92</v>
      </c>
    </row>
    <row r="32" spans="2:15" x14ac:dyDescent="0.3">
      <c r="B32" s="73"/>
      <c r="C32" s="73"/>
      <c r="F32" s="70" t="s">
        <v>91</v>
      </c>
    </row>
  </sheetData>
  <sheetProtection selectLockedCells="1"/>
  <mergeCells count="71">
    <mergeCell ref="B28:C28"/>
    <mergeCell ref="E28:F28"/>
    <mergeCell ref="G28:H28"/>
    <mergeCell ref="I28:K28"/>
    <mergeCell ref="L28:O28"/>
    <mergeCell ref="B29:C29"/>
    <mergeCell ref="D29:H29"/>
    <mergeCell ref="I29:O29"/>
    <mergeCell ref="B26:C26"/>
    <mergeCell ref="D26:H26"/>
    <mergeCell ref="I26:K26"/>
    <mergeCell ref="L26:N26"/>
    <mergeCell ref="B27:C27"/>
    <mergeCell ref="E27:F27"/>
    <mergeCell ref="G27:H27"/>
    <mergeCell ref="I27:K27"/>
    <mergeCell ref="L27:O27"/>
    <mergeCell ref="C22:O22"/>
    <mergeCell ref="B24:C24"/>
    <mergeCell ref="D24:H24"/>
    <mergeCell ref="I24:K24"/>
    <mergeCell ref="L24:O24"/>
    <mergeCell ref="B25:C25"/>
    <mergeCell ref="D25:H25"/>
    <mergeCell ref="I25:K25"/>
    <mergeCell ref="L25:O25"/>
    <mergeCell ref="C20:D20"/>
    <mergeCell ref="G20:H20"/>
    <mergeCell ref="K20:L20"/>
    <mergeCell ref="B21:F21"/>
    <mergeCell ref="G21:J21"/>
    <mergeCell ref="K21:L21"/>
    <mergeCell ref="C18:D18"/>
    <mergeCell ref="G18:H18"/>
    <mergeCell ref="I18:J18"/>
    <mergeCell ref="N18:O18"/>
    <mergeCell ref="C19:D19"/>
    <mergeCell ref="G19:H19"/>
    <mergeCell ref="K19:L19"/>
    <mergeCell ref="B15:E15"/>
    <mergeCell ref="F15:K15"/>
    <mergeCell ref="C17:D17"/>
    <mergeCell ref="G17:H17"/>
    <mergeCell ref="K17:L17"/>
    <mergeCell ref="N17:O17"/>
    <mergeCell ref="B12:E12"/>
    <mergeCell ref="F12:K12"/>
    <mergeCell ref="B13:E13"/>
    <mergeCell ref="F13:K13"/>
    <mergeCell ref="L13:O13"/>
    <mergeCell ref="B14:E14"/>
    <mergeCell ref="F14:K14"/>
    <mergeCell ref="L14:O14"/>
    <mergeCell ref="L8:O8"/>
    <mergeCell ref="F9:K9"/>
    <mergeCell ref="B10:E10"/>
    <mergeCell ref="F10:K10"/>
    <mergeCell ref="L10:O10"/>
    <mergeCell ref="B11:E11"/>
    <mergeCell ref="F11:K11"/>
    <mergeCell ref="L11:O11"/>
    <mergeCell ref="F2:K8"/>
    <mergeCell ref="L2:O2"/>
    <mergeCell ref="B3:E3"/>
    <mergeCell ref="B4:E4"/>
    <mergeCell ref="B5:E5"/>
    <mergeCell ref="B6:C6"/>
    <mergeCell ref="D6:E6"/>
    <mergeCell ref="B7:E7"/>
    <mergeCell ref="L7:O7"/>
    <mergeCell ref="B8:E8"/>
  </mergeCells>
  <dataValidations count="2">
    <dataValidation type="list" allowBlank="1" showInputMessage="1" showErrorMessage="1" sqref="M17" xr:uid="{52CBDA8B-04C5-4083-BDEE-CEFEA3CFDACC}">
      <formula1>"MTR,PCS"</formula1>
    </dataValidation>
    <dataValidation type="list" allowBlank="1" showInputMessage="1" showErrorMessage="1" sqref="J17" xr:uid="{C6017DBC-CB20-4A71-A5C7-CA1DDDDBB4F5}">
      <formula1>"USD,EUR,GBP,TL,$,€"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5A93-F288-4278-A413-78642332E1C0}">
  <sheetPr codeName="Sayfa2">
    <pageSetUpPr autoPageBreaks="0" fitToPage="1"/>
  </sheetPr>
  <dimension ref="A1:C12"/>
  <sheetViews>
    <sheetView showOutlineSymbols="0" workbookViewId="0">
      <selection activeCell="G10" sqref="G10"/>
    </sheetView>
  </sheetViews>
  <sheetFormatPr defaultColWidth="12.109375" defaultRowHeight="15" customHeight="1" x14ac:dyDescent="0.25"/>
  <cols>
    <col min="1" max="1" width="9" style="16" customWidth="1"/>
    <col min="2" max="2" width="10.44140625" style="16" customWidth="1"/>
    <col min="3" max="3" width="10.5546875" style="16" customWidth="1"/>
    <col min="4" max="16384" width="12.109375" style="16"/>
  </cols>
  <sheetData>
    <row r="1" spans="1:3" ht="14.25" customHeight="1" x14ac:dyDescent="0.25">
      <c r="A1" s="22" t="s">
        <v>35</v>
      </c>
      <c r="B1" s="23" t="s">
        <v>36</v>
      </c>
      <c r="C1" s="23" t="s">
        <v>37</v>
      </c>
    </row>
    <row r="2" spans="1:3" ht="14.25" customHeight="1" x14ac:dyDescent="0.25">
      <c r="A2" s="17">
        <v>1580181</v>
      </c>
      <c r="B2" s="18">
        <v>141</v>
      </c>
      <c r="C2" s="19">
        <v>14.940633245378999</v>
      </c>
    </row>
    <row r="3" spans="1:3" ht="14.25" customHeight="1" x14ac:dyDescent="0.25">
      <c r="A3" s="17">
        <v>1580182</v>
      </c>
      <c r="B3" s="18">
        <v>141</v>
      </c>
      <c r="C3" s="19">
        <v>17.999999999995676</v>
      </c>
    </row>
    <row r="4" spans="1:3" ht="14.25" customHeight="1" x14ac:dyDescent="0.25">
      <c r="A4" s="17">
        <v>1580183</v>
      </c>
      <c r="B4" s="18">
        <v>141</v>
      </c>
      <c r="C4" s="19">
        <v>15.831134564639999</v>
      </c>
    </row>
    <row r="5" spans="1:3" ht="14.25" customHeight="1" x14ac:dyDescent="0.25">
      <c r="A5" s="17">
        <v>1580190</v>
      </c>
      <c r="B5" s="18">
        <v>141</v>
      </c>
      <c r="C5" s="19">
        <v>16.395118733505299</v>
      </c>
    </row>
    <row r="6" spans="1:3" ht="14.25" customHeight="1" x14ac:dyDescent="0.25">
      <c r="A6" s="17">
        <v>1580198</v>
      </c>
      <c r="B6" s="18">
        <v>141</v>
      </c>
      <c r="C6" s="19">
        <v>16.310026385220361</v>
      </c>
    </row>
    <row r="7" spans="1:3" ht="14.25" customHeight="1" x14ac:dyDescent="0.25">
      <c r="A7" s="17">
        <v>1580201</v>
      </c>
      <c r="B7" s="18">
        <v>141</v>
      </c>
      <c r="C7" s="19">
        <v>23.251978891815</v>
      </c>
    </row>
    <row r="8" spans="1:3" ht="14.25" customHeight="1" x14ac:dyDescent="0.25">
      <c r="A8" s="17">
        <v>1580204</v>
      </c>
      <c r="B8" s="18">
        <v>141</v>
      </c>
      <c r="C8" s="19">
        <v>15.237467018465999</v>
      </c>
    </row>
    <row r="9" spans="1:3" ht="14.25" customHeight="1" x14ac:dyDescent="0.25">
      <c r="A9" s="17">
        <v>1580205</v>
      </c>
      <c r="B9" s="18">
        <v>141</v>
      </c>
      <c r="C9" s="19">
        <v>18.75791556727782</v>
      </c>
    </row>
    <row r="10" spans="1:3" ht="14.25" customHeight="1" x14ac:dyDescent="0.25">
      <c r="A10" s="17">
        <v>1580207</v>
      </c>
      <c r="B10" s="18">
        <v>141</v>
      </c>
      <c r="C10" s="19">
        <v>9.4056728232167401</v>
      </c>
    </row>
    <row r="11" spans="1:3" ht="14.25" customHeight="1" x14ac:dyDescent="0.25">
      <c r="A11" s="17">
        <v>1580278</v>
      </c>
      <c r="B11" s="18">
        <v>141</v>
      </c>
      <c r="C11" s="19">
        <v>9.4056728232167401</v>
      </c>
    </row>
    <row r="12" spans="1:3" ht="12.75" customHeight="1" x14ac:dyDescent="0.25">
      <c r="A12" s="20">
        <v>10</v>
      </c>
      <c r="B12" s="21"/>
      <c r="C12" s="21"/>
    </row>
  </sheetData>
  <pageMargins left="0" right="0" top="0" bottom="0" header="0" footer="0"/>
  <pageSetup paperSize="9" firstPageNumber="0" fitToWidth="0" fitToHeight="0" orientation="landscape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PL</vt:lpstr>
      <vt:lpstr>CI</vt:lpstr>
      <vt:lpstr>KT</vt:lpstr>
      <vt:lpstr>Data</vt:lpstr>
      <vt:lpstr>CI (2)</vt:lpstr>
      <vt:lpstr>LEIA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Müjgan</dc:creator>
  <cp:lastModifiedBy>A.HUSEYIN KILIC</cp:lastModifiedBy>
  <cp:lastPrinted>2026-03-13T11:26:21Z</cp:lastPrinted>
  <dcterms:created xsi:type="dcterms:W3CDTF">2019-02-28T09:57:39Z</dcterms:created>
  <dcterms:modified xsi:type="dcterms:W3CDTF">2026-03-16T01:52:03Z</dcterms:modified>
</cp:coreProperties>
</file>